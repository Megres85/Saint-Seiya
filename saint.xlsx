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4"/>
    <sheet state="visible" name="Marchi" sheetId="2" r:id="rId5"/>
    <sheet state="visible" name="Artefatti" sheetId="3" r:id="rId6"/>
    <sheet state="visible" name="Buff e Debuff" sheetId="4" r:id="rId7"/>
    <sheet state="visible" name="Sage" sheetId="5" r:id="rId8"/>
    <sheet state="visible" name="Shura DC" sheetId="6" r:id="rId9"/>
    <sheet state="visible" name="Hécate" sheetId="7" r:id="rId10"/>
    <sheet state="visible" name="Cain·Abel" sheetId="8" r:id="rId11"/>
    <sheet state="visible" name="Aiacos" sheetId="9" r:id="rId12"/>
    <sheet state="visible" name="Minos" sheetId="10" r:id="rId13"/>
    <sheet state="visible" name="Shun Hades" sheetId="11" r:id="rId14"/>
    <sheet state="visible" name="Hypnos" sheetId="12" r:id="rId15"/>
    <sheet state="visible" name="Thanatos" sheetId="13" r:id="rId16"/>
    <sheet state="visible" name="Rhadamanthe" sheetId="14" r:id="rId17"/>
    <sheet state="visible" name="Aphrodite DC" sheetId="15" r:id="rId18"/>
    <sheet state="visible" name="Hadès" sheetId="16" r:id="rId19"/>
    <sheet state="visible" name="Suikyo Garuda" sheetId="17" r:id="rId20"/>
    <sheet state="visible" name="Alone" sheetId="18" r:id="rId21"/>
    <sheet state="visible" name="Milo DC" sheetId="19" r:id="rId22"/>
    <sheet state="visible" name="Pandora (ND)" sheetId="20" r:id="rId23"/>
    <sheet state="visible" name="Chagall" sheetId="21" r:id="rId24"/>
    <sheet state="visible" name="Kagaho" sheetId="22" r:id="rId25"/>
    <sheet state="visible" name="Asclépios" sheetId="23" r:id="rId26"/>
    <sheet state="visible" name="Minos (LC)" sheetId="24" r:id="rId27"/>
    <sheet state="visible" name="Thanatos (LC)" sheetId="25" r:id="rId28"/>
    <sheet state="visible" name="Pandora (LC)" sheetId="26" r:id="rId29"/>
    <sheet state="visible" name="Alone (LC)" sheetId="27" r:id="rId30"/>
    <sheet state="visible" name="Pandora" sheetId="28" r:id="rId31"/>
    <sheet state="visible" name="Kanon" sheetId="29" r:id="rId32"/>
    <sheet state="visible" name="Saga Malefico" sheetId="30" r:id="rId33"/>
    <sheet state="visible" name="Shaka" sheetId="31" r:id="rId34"/>
    <sheet state="visible" name="Saga" sheetId="32" r:id="rId35"/>
    <sheet state="visible" name="Sorrento" sheetId="33" r:id="rId36"/>
    <sheet state="visible" name="Poseidon" sheetId="34" r:id="rId37"/>
    <sheet state="visible" name="Kanon Gemini" sheetId="35" r:id="rId38"/>
    <sheet state="visible" name="Seiya DC" sheetId="36" r:id="rId39"/>
    <sheet state="visible" name="Athena" sheetId="37" r:id="rId40"/>
    <sheet state="visible" name="Shiryu DC" sheetId="38" r:id="rId41"/>
    <sheet state="visible" name="Shun DC" sheetId="39" r:id="rId42"/>
    <sheet state="visible" name="Shaka Arayashiki" sheetId="40" r:id="rId43"/>
    <sheet state="visible" name="Hyoga DC" sheetId="41" r:id="rId44"/>
    <sheet state="visible" name="Aiolia DC" sheetId="42" r:id="rId45"/>
    <sheet state="visible" name="Ikki DC" sheetId="43" r:id="rId46"/>
    <sheet state="visible" name="Odysseus" sheetId="44" r:id="rId47"/>
    <sheet state="visible" name="Dohko DC" sheetId="45" r:id="rId48"/>
    <sheet state="visible" name="Artemis" sheetId="46" r:id="rId49"/>
    <sheet state="visible" name="Toma" sheetId="47" r:id="rId50"/>
    <sheet state="visible" name="Shijima" sheetId="48" r:id="rId51"/>
    <sheet state="visible" name="Aldebaran DC" sheetId="49" r:id="rId52"/>
    <sheet state="visible" name="Callisto" sheetId="50" r:id="rId53"/>
    <sheet state="visible" name="Camus DC" sheetId="51" r:id="rId54"/>
    <sheet state="visible" name="Shion" sheetId="52" r:id="rId55"/>
    <sheet state="visible" name="Mu DC" sheetId="53" r:id="rId56"/>
    <sheet state="visible" name="Athena Ragazza" sheetId="54" r:id="rId57"/>
    <sheet state="visible" name="Apollo" sheetId="55" r:id="rId58"/>
    <sheet state="visible" name="Hakurei" sheetId="56" r:id="rId59"/>
    <sheet state="visible" name="Moses" sheetId="57" r:id="rId60"/>
    <sheet state="visible" name="Marin" sheetId="58" r:id="rId61"/>
    <sheet state="visible" name="Milo" sheetId="59" r:id="rId62"/>
    <sheet state="visible" name="Deathmask" sheetId="60" r:id="rId63"/>
    <sheet state="visible" name="Aphrodite" sheetId="61" r:id="rId64"/>
    <sheet state="visible" name="Athena Terra" sheetId="62" r:id="rId65"/>
    <sheet state="visible" name="Tetis" sheetId="63" r:id="rId66"/>
    <sheet state="visible" name="Io" sheetId="64" r:id="rId67"/>
    <sheet state="visible" name="Krishna" sheetId="65" r:id="rId68"/>
    <sheet state="visible" name="Shiryu Bilancia" sheetId="66" r:id="rId69"/>
    <sheet state="visible" name="Kaysa" sheetId="67" r:id="rId70"/>
    <sheet state="visible" name="Isaac" sheetId="68" r:id="rId71"/>
    <sheet state="visible" name="Hyoga Acquario" sheetId="69" r:id="rId72"/>
    <sheet state="visible" name="Ikki Leone" sheetId="70" r:id="rId73"/>
    <sheet state="visible" name="Seiya Gold" sheetId="71" r:id="rId74"/>
    <sheet state="visible" name="Shion Surplice" sheetId="72" r:id="rId75"/>
    <sheet state="visible" name="Niobe" sheetId="73" r:id="rId76"/>
    <sheet state="visible" name="Shiryu Drago dOro" sheetId="74" r:id="rId77"/>
    <sheet state="visible" name="Orphee" sheetId="75" r:id="rId78"/>
    <sheet state="visible" name="Hyoga Cigno dOro" sheetId="76" r:id="rId79"/>
    <sheet state="visible" name="Zellos" sheetId="77" r:id="rId80"/>
    <sheet state="visible" name="Myu Specter" sheetId="78" r:id="rId81"/>
    <sheet state="visible" name="Shun Gold" sheetId="79" r:id="rId82"/>
    <sheet state="visible" name="Charon" sheetId="80" r:id="rId83"/>
    <sheet state="visible" name="Raimi" sheetId="81" r:id="rId84"/>
    <sheet state="visible" name="Pharaon" sheetId="82" r:id="rId85"/>
    <sheet state="visible" name="Dhoko Maestro" sheetId="83" r:id="rId86"/>
    <sheet state="visible" name="Shion Gran Papa" sheetId="84" r:id="rId87"/>
    <sheet state="visible" name="Sylphide" sheetId="85" r:id="rId88"/>
    <sheet state="visible" name="Suikyo" sheetId="86" r:id="rId89"/>
    <sheet state="visible" name="Queen" sheetId="87" r:id="rId90"/>
    <sheet state="visible" name="Deathtoll" sheetId="88" r:id="rId91"/>
    <sheet state="visible" name="Gigant" sheetId="89" r:id="rId92"/>
    <sheet state="visible" name="Kaiser" sheetId="90" r:id="rId93"/>
    <sheet state="visible" name="Gestalt" sheetId="91" r:id="rId94"/>
    <sheet state="visible" name="Izo" sheetId="92" r:id="rId95"/>
    <sheet state="visible" name="Cardinale" sheetId="93" r:id="rId96"/>
    <sheet state="visible" name="La Scoumoune" sheetId="94" r:id="rId97"/>
    <sheet state="visible" name="Ox" sheetId="95" r:id="rId98"/>
    <sheet state="visible" name="Ecarlate" sheetId="96" r:id="rId99"/>
    <sheet state="visible" name="Tenma" sheetId="97" r:id="rId100"/>
    <sheet state="visible" name="Mystoria" sheetId="98" r:id="rId101"/>
    <sheet state="visible" name="Rune" sheetId="99" r:id="rId102"/>
    <sheet state="visible" name="Shiryu Erede" sheetId="100" r:id="rId103"/>
    <sheet state="visible" name="Hyoga Erede" sheetId="101" r:id="rId104"/>
    <sheet state="visible" name="Shun Vergine" sheetId="102" r:id="rId105"/>
    <sheet state="visible" name="Albafica" sheetId="103" r:id="rId106"/>
    <sheet state="visible" name="Ikki Leone1" sheetId="104" r:id="rId107"/>
    <sheet state="visible" name="Aldebaran Hasgard" sheetId="105" r:id="rId108"/>
    <sheet state="visible" name="Argeti" sheetId="106" r:id="rId109"/>
    <sheet state="visible" name="Shaina" sheetId="107" r:id="rId110"/>
    <sheet state="visible" name="Dante" sheetId="108" r:id="rId111"/>
    <sheet state="visible" name="Aiolia" sheetId="109" r:id="rId112"/>
    <sheet state="visible" name="Mu" sheetId="110" r:id="rId113"/>
    <sheet state="visible" name="Aiolos" sheetId="111" r:id="rId114"/>
    <sheet state="visible" name="Misty" sheetId="112" r:id="rId115"/>
    <sheet state="visible" name="Jamian" sheetId="113" r:id="rId116"/>
    <sheet state="visible" name="Dios" sheetId="114" r:id="rId117"/>
    <sheet state="visible" name="Tremy" sheetId="115" r:id="rId118"/>
    <sheet state="visible" name="Camus" sheetId="116" r:id="rId119"/>
    <sheet state="visible" name="Dohko" sheetId="117" r:id="rId120"/>
    <sheet state="visible" name="Argor" sheetId="118" r:id="rId121"/>
    <sheet state="visible" name="Sirius" sheetId="119" r:id="rId122"/>
    <sheet state="visible" name="Asterione" sheetId="120" r:id="rId123"/>
    <sheet state="visible" name="Capella" sheetId="121" r:id="rId124"/>
    <sheet state="visible" name="Aldebaran" sheetId="122" r:id="rId125"/>
    <sheet state="visible" name="Shura" sheetId="123" r:id="rId126"/>
    <sheet state="visible" name="Baian" sheetId="124" r:id="rId127"/>
    <sheet state="visible" name="Seiya Sagittario" sheetId="125" r:id="rId128"/>
    <sheet state="visible" name="June" sheetId="126" r:id="rId129"/>
    <sheet state="visible" name="Shun Vergine1" sheetId="127" r:id="rId130"/>
  </sheets>
  <definedNames/>
  <calcPr/>
  <extLst>
    <ext uri="GoogleSheetsCustomDataVersion2">
      <go:sheetsCustomData xmlns:go="http://customooxmlschemas.google.com/" r:id="rId131" roundtripDataChecksum="wFWjz4ko5eU1fUVOoQHIwTKw9MExdg7L5z7S0NJt1fY="/>
    </ext>
  </extLst>
</workbook>
</file>

<file path=xl/sharedStrings.xml><?xml version="1.0" encoding="utf-8"?>
<sst xmlns="http://schemas.openxmlformats.org/spreadsheetml/2006/main" count="8798" uniqueCount="3300">
  <si>
    <t>DATABASE MARCHI E VESTIGI</t>
  </si>
  <si>
    <t>INDICE GENERALE DEL DATABASE - SAINT SEIYA: LEGEND OF JUSTICE</t>
  </si>
  <si>
    <t>DATABASE ARTEFATTI GENERALI</t>
  </si>
  <si>
    <t>Categoria</t>
  </si>
  <si>
    <t>Elemento</t>
  </si>
  <si>
    <t>Descrizione</t>
  </si>
  <si>
    <t>MARCHIO: FORZA DELLA VALANGA</t>
  </si>
  <si>
    <t>Le Barre di Stato</t>
  </si>
  <si>
    <t>ARTEFATTO GENERICO: SPADA D’ORO</t>
  </si>
  <si>
    <t>Nome Sezione / Foglio</t>
  </si>
  <si>
    <t>Barra Rossa (HP/Vita)</t>
  </si>
  <si>
    <t>Indica i punti vita del nemico. Se la barra diventa di un colore grigio intenso, significa che quella porzione di vita è stata "annullata" (come nel caso degli effetti di Thanatos) e non può essere recuperata.</t>
  </si>
  <si>
    <t>Barra Gialla (Cosmo)</t>
  </si>
  <si>
    <t>Nome Artefatto</t>
  </si>
  <si>
    <t>Descrizione / Tipologia Contenuto</t>
  </si>
  <si>
    <t>Mostra la carica del Cosmo del nemico, utile per prevedere l'utilizzo di abilità Ultimate.</t>
  </si>
  <si>
    <t>Nome Marchio</t>
  </si>
  <si>
    <t>Barra Blu (Scudi)</t>
  </si>
  <si>
    <t>Indica gli scudi attivi sul personaggio.</t>
  </si>
  <si>
    <t>Forza della Valanga</t>
  </si>
  <si>
    <t>Spada d’Oro</t>
  </si>
  <si>
    <t>Simboli di Buff e Debuff (Statistiche)</t>
  </si>
  <si>
    <t>Pugno arancione/rosso</t>
  </si>
  <si>
    <t>Aumento dell'attacco (Buff).</t>
  </si>
  <si>
    <t>Livello Vestigio Max</t>
  </si>
  <si>
    <t>Cavalieri Idonei</t>
  </si>
  <si>
    <t>Pugno blu con sbarra</t>
  </si>
  <si>
    <t>Riduzione dell'attacco (Debuff).</t>
  </si>
  <si>
    <t>Scudo giallo</t>
  </si>
  <si>
    <t>Tutti i cavalieri possono equipaggiare</t>
  </si>
  <si>
    <t>Lv. 30 (Frammenti Totali: 1050 | Step: 0, 5, 10, 15, 20, 25, 30)</t>
  </si>
  <si>
    <t>Aumento della difesa.</t>
  </si>
  <si>
    <t>Scudo blu rotto</t>
  </si>
  <si>
    <t>Riduzione della difesa (es. dopo l'attacco di Seiya).</t>
  </si>
  <si>
    <t>Abilità</t>
  </si>
  <si>
    <t>Livello</t>
  </si>
  <si>
    <t>Lv. 5</t>
  </si>
  <si>
    <t>Furia del Divino Eroe</t>
  </si>
  <si>
    <t>Fulmine rosso / blu</t>
  </si>
  <si>
    <t>Bonus Attacco</t>
  </si>
  <si>
    <t>Abilità - Lv 1</t>
  </si>
  <si>
    <t>Aumento o riduzione della velocità.</t>
  </si>
  <si>
    <t>+10.0%</t>
  </si>
  <si>
    <t>Infligge al nemico DAN pari al 140% della media dell'ATT della squadra e causa stordimento per 1.50 secondi. (Inizio: 1.60s | Fine: 2.40s)</t>
  </si>
  <si>
    <t>Effetti di Controllo e Alterazioni di Stato</t>
  </si>
  <si>
    <t>Precisione</t>
  </si>
  <si>
    <t>Abilità - Lv 2</t>
  </si>
  <si>
    <t>Guida completa e catalogazione dei Marchi e Vestigi</t>
  </si>
  <si>
    <t>+100.0</t>
  </si>
  <si>
    <t>Confusione (Strisce rosse)</t>
  </si>
  <si>
    <t>Infligge al nemico DAN pari al 210% della media dell'ATT della squadra e causa stordimento per 2 secondi.</t>
  </si>
  <si>
    <t>Abilità - Lv 3</t>
  </si>
  <si>
    <t>Il bersaglio affetto viene considerato alleato di chi ha applicato l'effetto, attaccando i propri compagni.</t>
  </si>
  <si>
    <t>Abilità 1</t>
  </si>
  <si>
    <t>Dall’inizio della battaglia, ogni 3 secondi, aumenta il proprio attacco del 1.5%.</t>
  </si>
  <si>
    <t>Abilità 2</t>
  </si>
  <si>
    <t>Stun / Mareo (Stelline)</t>
  </si>
  <si>
    <t>Quando colpisce nemici dai PS inferiori al 30%, infligge 15% danni extra.</t>
  </si>
  <si>
    <t>Il personaggio rimane immobilizzato e non può attaccare per un certo periodo.</t>
  </si>
  <si>
    <t>Abilità 3</t>
  </si>
  <si>
    <t>Dall’inizio della battaglia, ogni 3 secondi, aumenta il proprio attacco del 1.5% e il livello di precisione di 5.</t>
  </si>
  <si>
    <t>Paura</t>
  </si>
  <si>
    <t>Simile allo Stun, spesso accompagnato da una riduzione della precisione o dell'assorbimento di Cosmo.</t>
  </si>
  <si>
    <t>ARTEFATTO GENERICO: SCUDO D'ORO</t>
  </si>
  <si>
    <t>Infligge al nemico DAN pari al 280% della media dell'ATT della squadra e causa stordimento per 2.50 secondi.</t>
  </si>
  <si>
    <t>Statistiche Generali (Tutti)</t>
  </si>
  <si>
    <t>Cecità</t>
  </si>
  <si>
    <t>Bonus Salute: +15.75% | Bonus Attacco: +15.75% | Bonus Difesa: +15.75%</t>
  </si>
  <si>
    <t>Il personaggio esegue gli attacchi ma fallisce completamente il bersaglio (la percentuale di colpo a segno si azzera).</t>
  </si>
  <si>
    <t>Bonus Classe - Protettore</t>
  </si>
  <si>
    <t>Bonus Salute: +4.0% | Fermezza: +100.0 | Resistenza: +4.0</t>
  </si>
  <si>
    <t>Scudo d'Oro</t>
  </si>
  <si>
    <t>Bonus Classe - Guerriero</t>
  </si>
  <si>
    <t>Bonus Difesa: +8.0% | Tenacia: +100.0 | Resistenza: +6.0</t>
  </si>
  <si>
    <t>Silenzio</t>
  </si>
  <si>
    <t>Catalogazione degli Artefatti Generali e relative abilità</t>
  </si>
  <si>
    <t>Bonus Classe - Abilità</t>
  </si>
  <si>
    <t>Impedisce al personaggio di lanciare abilità speciali o Ultimate, consentendo comunque di usare gli attacchi base.</t>
  </si>
  <si>
    <t>Bonus Attacco: +8.0% | Precisione: +100.0 | Rivelazione: +6.0</t>
  </si>
  <si>
    <t>Bonus Classe - Assassino</t>
  </si>
  <si>
    <t>Bonus Attacco: +4.0% | Schivata: +100.0 | Rivelazione: +4.0</t>
  </si>
  <si>
    <t>Bonus Salute</t>
  </si>
  <si>
    <t>Sonno</t>
  </si>
  <si>
    <t>Bonus Classe - Supporto</t>
  </si>
  <si>
    <t>+15.0%</t>
  </si>
  <si>
    <t>Bonus Salute: +8.0% | Riduzione DAN: +6.0% | Rivelazione: +6.0</t>
  </si>
  <si>
    <t>Un blocco temporale che si interrompe facilmente non appena il personaggio subisce danni, attivando spesso effetti secondari (come il recupero HP).</t>
  </si>
  <si>
    <t>Bonus Difesa</t>
  </si>
  <si>
    <t>MARCHIO: SAGGEZZA DELLA DEA</t>
  </si>
  <si>
    <t>Congelamento</t>
  </si>
  <si>
    <t>Quando ha salute superiore all'80%, riduce il DAN subito del 15%.</t>
  </si>
  <si>
    <t>Un blocco temporale (Stun) specifico legato alle sinergie dei team basati sul ghiaccio.</t>
  </si>
  <si>
    <t>Saggezza della Dea</t>
  </si>
  <si>
    <t>Rigidità / Immobilizzazione</t>
  </si>
  <si>
    <t>Scheda personaggio dettagliata (Area 1-4)</t>
  </si>
  <si>
    <t>Uno Stun con una classificazione di debuff differente rispetto al congelamento o alla petrificazione.</t>
  </si>
  <si>
    <t>Offesa e Difesa</t>
  </si>
  <si>
    <t>Provocazione (Taunt)</t>
  </si>
  <si>
    <t>Fa in modo che il Saint alleato con il maggior numero di abilità cicliche resetti il tempo di ricarica di tutte le sue abilità cicliche. (Inizio: 1.60s | Fine: 2.40s)</t>
  </si>
  <si>
    <t>Obbliga i nemici ad attaccare esclusivamente il personaggio che ha applicato la provocazione (es. Taurus).</t>
  </si>
  <si>
    <t>Saggezza della Dea all’inizio della battaglia ottiene 25% energia extra.</t>
  </si>
  <si>
    <t>Sede / Sede di attacchi impossibili</t>
  </si>
  <si>
    <t>Nei primi 30 secondi dall’inizio della battaglia, recupera il 1% dei PS massimi ogni secondo.</t>
  </si>
  <si>
    <t>Impedisce l'utilizzo degli attacchi base, pur lasciando libere altre abilità.</t>
  </si>
  <si>
    <t>Dopo 18 secondi dall’inizio della battaglia ottiene di nuovo 25% energia.</t>
  </si>
  <si>
    <t>Danni Periodici e Meccaniche Speciali</t>
  </si>
  <si>
    <t>Nei primi 30 secondi dall’inizio della battaglia, recupera il 1.5% dei PS massimi ogni secondo. Inoltre gli effetti di recupero ricevuti aumentano del 15%.</t>
  </si>
  <si>
    <t>Bruciatura, Veleno e Sanguinamento</t>
  </si>
  <si>
    <t>ARTEFATTO GENERICO: TWIN ROD D’ORO</t>
  </si>
  <si>
    <t>Bonus Difesa: +8.0% | Effetto Cura Ricevuta: +6.0% | Resistenza: +6.0</t>
  </si>
  <si>
    <t>Danneggiano costantemente il bersaglio nel tempo ignorando parzialmente la difesa (danno vero). Oltre al danno base, la loro utilità principale è attivare le abilità passive specifiche dei personaggi dedicati (es. Ikki per la bruciatura, Afrodite per il veleno).</t>
  </si>
  <si>
    <t>Bonus Salute: +4.0% | Velocità Attacco: +10.0% | Rivelazione: +4.0</t>
  </si>
  <si>
    <t>Elettricità</t>
  </si>
  <si>
    <t>Bonus Attacco: +4.0% | Sanguisuga: +24.0 | Rivelazione: +4.0</t>
  </si>
  <si>
    <t>Aumenta in percentuale i danni subiti dal bersaglio elettrizzato.</t>
  </si>
  <si>
    <t>Twin Rod d’Oro</t>
  </si>
  <si>
    <t>Bonus Attacco: +8.0% | Danno Critico: +100.0 | Resistenza: +6.0</t>
  </si>
  <si>
    <t>Rigenerazione</t>
  </si>
  <si>
    <t>Cura il personaggio nel tempo.</t>
  </si>
  <si>
    <t>Bonus Salute: +8.0% | Bonus DAN: +6.0% | Rivelazione: +6.0</t>
  </si>
  <si>
    <t>Tensione ridotta (Croce sbarrata)</t>
  </si>
  <si>
    <t>MARCHIO: VELOCITÀ DEL BALENO</t>
  </si>
  <si>
    <t>Riduce l'efficacia delle cure ricevute dal bersaglio.</t>
  </si>
  <si>
    <t>Critico</t>
  </si>
  <si>
    <t>Duello</t>
  </si>
  <si>
    <t>Ogni volta che esegue un critico, la propria vel. ATT aumenta del 6%, dura 5 secondi, cumulabile fino al lv.3.</t>
  </si>
  <si>
    <t>Isola i personaggi coinvolti dal resto della battaglia, impedendo l'uso di abilità ad area e limitando lo scontro ai soli attacchi base.</t>
  </si>
  <si>
    <t>Ogni volta che esegue un critico, la propria vel. ATT aumenta dell'8%, dura 5 secondi, cumulabile fino al lv.3.</t>
  </si>
  <si>
    <t>Velocità del Baleno</t>
  </si>
  <si>
    <t>Disattivazione passiva</t>
  </si>
  <si>
    <t>DAN critico aumenta del 20%. Ogni volta che esegue un critico, la propria vel. ATT aumenta del 10%, dura 5 secondi, cumulabile fino al lv.3.</t>
  </si>
  <si>
    <t>Annulla le abilità passive del bersaglio per la durata dell'effetto.</t>
  </si>
  <si>
    <t>ARTEFATTO GENERICO: TRIPLE ROD D’ORO</t>
  </si>
  <si>
    <t>Messaggero degli Dei</t>
  </si>
  <si>
    <t>In un colpo aumenta del 100% la vel. ATT di tutti gli alleati, questo effetto si riduce gradualmente entro 4 secondi fino a raggiungere 0. (Inizio: 1.60s | Fine: 2.40s)</t>
  </si>
  <si>
    <t>Triple Rod d’Oro</t>
  </si>
  <si>
    <t>In un colpo aumenta del 150% la vel. ATT di tutti gli alleati, questo effetto si riduce gradualmente entro 5 secondi fino a raggiungere 0.</t>
  </si>
  <si>
    <t>In un colpo aumenta del 200% la vel. ATT di tutti gli alleati, questo effetto si riduce gradualmente entro 6 secondi fino a raggiungere 0.</t>
  </si>
  <si>
    <t>+12.0%</t>
  </si>
  <si>
    <t>Schivata</t>
  </si>
  <si>
    <t>Bonus Difesa: +4.0% | Riduzione DAN: +6.0% | Resistenza: +4.0</t>
  </si>
  <si>
    <t>+80.0</t>
  </si>
  <si>
    <t>Bonus Salute: +8.0% | Sanguisuga: +60.0 | Resistenza: +6.0</t>
  </si>
  <si>
    <t>Dopo che ha inflitto DAN da abilità a un bersaglio per 3 volte consecutive, infligge DAN extra pari al 5% dell’attacco, intervallo di attivazione di 5 secondi.</t>
  </si>
  <si>
    <t>Bonus Attacco: +8.0% | Critico: +100.0 | Resistenza: +6.0</t>
  </si>
  <si>
    <t>Dopo che ha inflitto DAN da abilità a un bersaglio per 2 volte consecutive, infligge DAN extra pari al 6% dell’attacco, intervallo di attivazione di 4 secondi.</t>
  </si>
  <si>
    <t>Bonus Attacco: +8.0% | Accelerazione: +10.0 | Rivelazione: +6.0</t>
  </si>
  <si>
    <t>Aumenta velocità recupero cosmo del 10%. L’intervallo di attivazione del Triple Rod d’Oro si riduce a 3 secondi.</t>
  </si>
  <si>
    <t>Bonus Difesa: +4.0% | Effetto Cura: +6.0% | Resistenza: +4.0</t>
  </si>
  <si>
    <t>ARTEFATTO GENERICO: LANCIA D'ORO</t>
  </si>
  <si>
    <t>MARCHIO: BONTÀ DEL LADRO DEL FUOCO</t>
  </si>
  <si>
    <t>Lancia d'Oro</t>
  </si>
  <si>
    <t>Bontà del Ladro del Fuoco</t>
  </si>
  <si>
    <t>Abilità Principale</t>
  </si>
  <si>
    <t>Furto del Fuoco Sacro</t>
  </si>
  <si>
    <t>Furto Lv 1</t>
  </si>
  <si>
    <t>Sottrae il 10% dei PS attuali di ogni nemico, la media di questo valore viene convertito in cura per gli alleati. (Inizio: 1.00s | Fine: 3.00s)</t>
  </si>
  <si>
    <t>Bonus DAN</t>
  </si>
  <si>
    <t>+8.0%</t>
  </si>
  <si>
    <t>Furto Lv 2</t>
  </si>
  <si>
    <t>I PS sottratti aumentano al 13%, gli alleati curati entrano in stato incoraggiamento, per 3 secondi aumentano vel. ATT e precisione del 50%.</t>
  </si>
  <si>
    <t>Furto Lv 3</t>
  </si>
  <si>
    <t>Quando usa una tecnica segreta, recupera subito salute pari al 180% dell’ATT.</t>
  </si>
  <si>
    <t>I PS sottratti aumentano al 16%, i nemici a cui è stata sottratta salute entrano in stato indebolimento, riduce l’effetto di cura che ricevono del 50%, dura 3 secondi.</t>
  </si>
  <si>
    <t>Abilità Secondaria</t>
  </si>
  <si>
    <t>Quando usa una tecnica segreta, recupera subito salute pari al 280% dell’ATT.</t>
  </si>
  <si>
    <t>Torcia della Saggezza</t>
  </si>
  <si>
    <t>Torcia Lv 1</t>
  </si>
  <si>
    <t>La durata dei buff dei Saint alleati aumenta di 10%.</t>
  </si>
  <si>
    <t>Quando riesce ad eliminare il suo bersaglio, recupera salute pari al 15% dei PS massimi e ottiene 3 secondi di [benedizione].</t>
  </si>
  <si>
    <t>Torcia Lv 2</t>
  </si>
  <si>
    <t>La durata dei buff dei Saint alleati aumenta di 20%.</t>
  </si>
  <si>
    <t>ARTEFATTO GENERICO: TONFAR D’ORO</t>
  </si>
  <si>
    <t>Torcia Lv 3</t>
  </si>
  <si>
    <t>La durata dei buff dei Saint alleati aumenta di 30%.</t>
  </si>
  <si>
    <t>Bonus Salute: +21.0% | Bonus Attacco: +21.0% | Bonus Difesa: +21.0%</t>
  </si>
  <si>
    <t>Tonfar d’Oro</t>
  </si>
  <si>
    <t>Bonus Difesa: +9.6% | Effetto Cura Ricevuta: +7.2% | Resistenza: +8.0</t>
  </si>
  <si>
    <t>Bonus Salute: +9.6% | Velocità Attacco: +12.0% | Rivelazione: +8.0</t>
  </si>
  <si>
    <t>Bonus Attacco: +4.8% | Sanguisuga: +30.0 | Rivelazione: +6.0</t>
  </si>
  <si>
    <t>Tenacia</t>
  </si>
  <si>
    <t>Bonus Attacco: +9.6% | Bonus DAN: +12.0% | Resistenza: +8.0</t>
  </si>
  <si>
    <t>Bonus Salute: +4.8% | Accelerazione: +12.0 | Rivelazione: +6.0</t>
  </si>
  <si>
    <t>Dopo 4 attacchi normali, ottiene uno scudo equivalente al 100% dell’ATT, dura 5 secondi.</t>
  </si>
  <si>
    <t>MARCHIO: SVENTURE DEL VASO DEMONIACO</t>
  </si>
  <si>
    <t>Gli attacchi normali hanno il 30% di probabilità di stordire il bersaglio per 1.50 secondi.</t>
  </si>
  <si>
    <t>Dopo 3 attacchi normali, ottiene uno scudo equivalente al 120% dell’ATT, dura 5 secondi.</t>
  </si>
  <si>
    <t>ARTEFATTO GENERICO: SCETTRO DELLA VITTORIA</t>
  </si>
  <si>
    <t>Sventure del Vaso Demoniaco</t>
  </si>
  <si>
    <t>Apri il Vaso</t>
  </si>
  <si>
    <t>Scettro della Vittoria</t>
  </si>
  <si>
    <t>Apri il Vaso Lv 1</t>
  </si>
  <si>
    <t>Apre il Vaso Demoniaco e causa a tutti i nemici 1 sventura (tra cui cupidigia, falsità, ingiuria, gelosia e dolore) per 5 secondi. Cupidigia: danni subiti +50%; Falsità: danni inflitti -50%; Ingiuria: cure fornite e ricevute -50%; Gelosia: 50 punti rallentamento e precisione -50%; Dolore: prob. crit. e DAN critico subito +50%. (Inizio: 1.60s | Fine: 2.40s)</t>
  </si>
  <si>
    <t>Apri il Vaso Lv 2</t>
  </si>
  <si>
    <t>Causa 2 sventure ai nemici.</t>
  </si>
  <si>
    <t>Apri il Vaso Lv 3</t>
  </si>
  <si>
    <t>Causa 3 sventure ai nemici.</t>
  </si>
  <si>
    <t>Rid. DAN</t>
  </si>
  <si>
    <t>Ultima Speranza</t>
  </si>
  <si>
    <t>Ultima Speranza Lv 1</t>
  </si>
  <si>
    <t>Quando i PS di un Saint alleato scendono sotto il 10%, recupera subito il 20% della salute massima (si attiva 1 volta per ogni Saint).</t>
  </si>
  <si>
    <t>Recupera 400 cosmo ogni 4 secondi, per ogni Saint che lo usa, l’effetto di recupero è ridotto del 15%.</t>
  </si>
  <si>
    <t>Ultima Speranza Lv 2</t>
  </si>
  <si>
    <t>Il recupero dei PS aumenta al 30% dei PS massimi.</t>
  </si>
  <si>
    <t>Ultima Speranza Lv 3</t>
  </si>
  <si>
    <t>Il recupero dei PS aumenta al 40% dei PS massimi.</t>
  </si>
  <si>
    <t>Recupera 500 cosmo ogni 4 secondi, per ogni Saint che lo usa, l’effetto di recupero è ridotto del 15%.</t>
  </si>
  <si>
    <t>Bonus Difesa: +9.6% | Schivata: +120.0 | Rivelazione: +8.0</t>
  </si>
  <si>
    <t>Recupera 600 cosmo ogni 4 secondi, per ogni Saint che lo usa, l’effetto di recupero è ridotto del 15%. Quando muore il cosmo rimanente viene distribuito equamente tra tutti gli alleati.</t>
  </si>
  <si>
    <t>Bonus Salute: +4.8% | Sanguisuga: +30.0 | Resistenza: +6.0</t>
  </si>
  <si>
    <t>ARTEFATTO GENERICO: SCUDO DI ATENA</t>
  </si>
  <si>
    <t>Bonus Attacco: +9.6% | Critico: +120.0 | Resistenza: +8.0</t>
  </si>
  <si>
    <t>Bonus Attacco: +9.6% | Accelerazione: +12.0 | Rivelazione: +8.0</t>
  </si>
  <si>
    <t>Bonus Difesa: +4.8% | Effetto Cura: +6.0% | Resistenza: +6.0</t>
  </si>
  <si>
    <t>MARCHIO: PADRONE DEL FATO</t>
  </si>
  <si>
    <t>Scudo di Atena</t>
  </si>
  <si>
    <t>+120.0</t>
  </si>
  <si>
    <t>Padrone del Fato</t>
  </si>
  <si>
    <t>Quando riceve danni da ATT normale, ha 30% probabilità di recuperare salute pari al 50% del proprio ATT.</t>
  </si>
  <si>
    <t>Ogni 6 secondi ottiene automaticamente uno scudo che lo rende immune al DAN subito nel prossimo attacco.</t>
  </si>
  <si>
    <t>Impermanenza della Vita Umana</t>
  </si>
  <si>
    <t>Impermanenza Lv 1</t>
  </si>
  <si>
    <t>Quando riceve danni da ATT normale, ha 40% probabilità di recuperare salute pari al 75% del proprio ATT.</t>
  </si>
  <si>
    <t>Infligge stordimento al nemico con la percentuale più alta di salute, dura 3 secondi. (Inizio: 1.60s | Fine: 2.40s)</t>
  </si>
  <si>
    <t>Impermanenza Lv 2</t>
  </si>
  <si>
    <t>ARTEFATTO GENERICO: ARCO D’ORO</t>
  </si>
  <si>
    <t>Nel frattempo applica l’effetto invincibilità all’alleato dalla percentuale di salute più bassa per 3 secondi.</t>
  </si>
  <si>
    <t>Impermanenza Lv 3</t>
  </si>
  <si>
    <t>La durata aumenta a 4.50 secondi.</t>
  </si>
  <si>
    <t>Fato Misterioso</t>
  </si>
  <si>
    <t>Fato Misterioso Lv 1</t>
  </si>
  <si>
    <t>Per ogni Saint in vita nella propria squadra, la velocità di recupero energia di Padrone del Fato aumenta del 5%.</t>
  </si>
  <si>
    <t>Fato Misterioso Lv 2</t>
  </si>
  <si>
    <t>Per ogni Saint in vita in entrambe le squadre, la velocità di recupero dell’energia di Padrone del Fato aumenta del 5%.</t>
  </si>
  <si>
    <t>Fato Misterioso Lv 3</t>
  </si>
  <si>
    <t>Arco d’Oro</t>
  </si>
  <si>
    <t>Quando un qualunque Saint in campo muore, Padrone del Fato fa recuperare subito 2000 energia.</t>
  </si>
  <si>
    <t>Bonus Salute: +9.6% | Fermezza: +120.0 | Resistenza: +8.0</t>
  </si>
  <si>
    <t>Bonus Difesa: +9.6% | Tenacia: +120.0 | Resistenza: +8.0</t>
  </si>
  <si>
    <t>Bonus Attacco: +4.8% | Precisione: +120.0 | Rivelazione: +6.0</t>
  </si>
  <si>
    <t>Bonus Attacco: +4.8% | Schivata: +120.0 | Rivelazione: +6.0</t>
  </si>
  <si>
    <t>Bonus Salute: +9.6% | Riduzione DAN: +7.2% | Rivelazione: +8.0</t>
  </si>
  <si>
    <t>Quando colpisce nemici dai PS superiori all'80%, infligge 15% danni extra.</t>
  </si>
  <si>
    <t>MARCHIO: DONO DELLA PROTEZIONE DIVINA</t>
  </si>
  <si>
    <t>Dopo aver lanciato una qualunque abilità, prob. crit. e prob. penetrazione aumentano del 10%, dura 5 secondi.</t>
  </si>
  <si>
    <t>Dopo aver lanciato una qualunque abilità, prob. crit. e prob. penetrazione aumentano del 15%, dura 6 secondi.</t>
  </si>
  <si>
    <t>Dono della Protezione Divina</t>
  </si>
  <si>
    <t>Sacra Gloria</t>
  </si>
  <si>
    <t>Sacra Gloria Lv 1</t>
  </si>
  <si>
    <t>Purifica di forza tutti i debuff degli alleati. (Inizio: 1.60s | Fine: 2.40s)</t>
  </si>
  <si>
    <t>Sacra Gloria Lv 2</t>
  </si>
  <si>
    <t>Nel frattempo, Disperde di forza tutti i buff dei nemici.</t>
  </si>
  <si>
    <t>Sacra Gloria Lv 3</t>
  </si>
  <si>
    <t>Dopo la purificazione, fa recuperare il 10% dei PS persi a tutti gli alleati, dura 5 secondi.</t>
  </si>
  <si>
    <t>Pieno di Speranza</t>
  </si>
  <si>
    <t>Pieno di Speranza Lv 1</t>
  </si>
  <si>
    <t>I Saint alleati che hanno salute inferiore al 20%, ottengono il 20% di Riduzione Danni.</t>
  </si>
  <si>
    <t>Pieno di Speranza Lv 2</t>
  </si>
  <si>
    <t>I Saint alleati che hanno salute inferiore al 20%, ottengono il 30% di Riduzione Danni.</t>
  </si>
  <si>
    <t>Pieno di Speranza Lv 3</t>
  </si>
  <si>
    <t>I Saint alleati che hanno salute inferiore al 20%, ottengono il 40% di Riduzione Danni.</t>
  </si>
  <si>
    <t>Bonus Salute: +4.8% | Riduzione DAN: +7.2% | Resistenza: +6.0</t>
  </si>
  <si>
    <t>Bonus Difesa: +9.6% | Accelerazione: +12.0 | Rivelazione: +8.0</t>
  </si>
  <si>
    <t>Bonus Salute: +9.6% | Velocità Attacco: +12.0% | Resistenza: +8.0</t>
  </si>
  <si>
    <t>Bonus Salute: +4.8% | Critico: +120.0 | Rivelazione: +6.0</t>
  </si>
  <si>
    <t>Bonus Difesa: +9.6% | Effetto Cura Ricevuta: +6.0% | Resistenza: +8.0</t>
  </si>
  <si>
    <t>MARCHIO: PENA DELLA CUPIDIGIA</t>
  </si>
  <si>
    <t>Pena della Cupidigia</t>
  </si>
  <si>
    <t>Alchimia</t>
  </si>
  <si>
    <t>Alchimia Lv 1</t>
  </si>
  <si>
    <t>Infligge al nemico DAN pari al 160% dell’ATT medio di tutti i Saint della propria squadra, inoltre nei prossimi 5 secondi causa riduzione effetto cura ricevuta del 50%. (Inizio: 1.80s | Fine: 2.40s)</t>
  </si>
  <si>
    <t>Alchimia Lv 2</t>
  </si>
  <si>
    <t>Infligge al nemico DAN pari al 240% dell’ATT medio di tutti i Saint della propria squadra, inoltre nei prossimi 5 secondi causa riduzione effetto cura ricevuta del 75%.</t>
  </si>
  <si>
    <t>Alchimia Lv 3</t>
  </si>
  <si>
    <t>Infligge al nemico DAN pari al 320% dell’ATT medio di tutti i Saint della propria squadra, inoltre nei prossimi 5 secondi causa riduzione effetto cura ricevuta del 100%.</t>
  </si>
  <si>
    <t>Tocco del Re</t>
  </si>
  <si>
    <t>Tocco del Re Lv 1</t>
  </si>
  <si>
    <t>Ogni volta che un nemico recupera un totale di salute pari al 60% dei PS massimi, nei seguenti 5 secondi riceve 20% danni extra.</t>
  </si>
  <si>
    <t>Tocco del Re Lv 2</t>
  </si>
  <si>
    <t>Ogni volta che un nemico recupera un totale di salute pari al 50% dei PS massimi, nei seguenti 5 secondi riceve 30% danni extra.</t>
  </si>
  <si>
    <t>Tocco del Re Lv 3</t>
  </si>
  <si>
    <t>Ogni volta che un nemico recupera un totale di salute pari al 40% dei PS massimi, nei seguenti 5 secondi riceve 40% danni extra.</t>
  </si>
  <si>
    <t>Bonus Difesa: +4.8% | Tenacia: +72.0 | Rivelazione: +6.0</t>
  </si>
  <si>
    <t>Bonus Attacco: +4.8% | Critico: +120.0 | Resistenza: +6.0</t>
  </si>
  <si>
    <t>Bonus Salute: +9.6% | Sanguisuga: +30.0 | Rivelazione: +8.0</t>
  </si>
  <si>
    <t>Bonus Salute: +9.6% | Accelerazione: +12.0 | Resistenza: +8.0</t>
  </si>
  <si>
    <t>Bonus Attacco: +9.6% | Bonus DAN: +7.2% | Rivelazione: +8.0</t>
  </si>
  <si>
    <t>MARCHIO: SICUREZZA E PERICOLO</t>
  </si>
  <si>
    <t>Sicurezza e Pericolo</t>
  </si>
  <si>
    <t>Spada Capovolta</t>
  </si>
  <si>
    <t>Spada Capovolta Lv 1</t>
  </si>
  <si>
    <t>Applica l'effetto spada capovolta al nemico con l'ATT più alto, dura 10 secondi. Durante l'effetto la sua precisione è ridotta di 30%. (Inizio: 2.30s | Fine: 2.31s)</t>
  </si>
  <si>
    <t>Spada Capovolta Lv 2</t>
  </si>
  <si>
    <t>Durante l'effetto, l'accelerazione del nemico è ridotta di 30 punti, ogni volta che lancia un'abilità qualsiasi, entra in stato [timore] per 3 secondi.</t>
  </si>
  <si>
    <t>Spada Capovolta Lv 3</t>
  </si>
  <si>
    <t>Se durante l'effetto i PS del bersaglio sono inferiori a 15%, subisce direttamente un colpo di grazia che ignora immunità o invincibilità, inoltre il bersaglio non può resuscitare.</t>
  </si>
  <si>
    <t>Diritti e Doveri</t>
  </si>
  <si>
    <t>Diritti e Doveri Lv 1</t>
  </si>
  <si>
    <t>Il DAN da tecnica segreta subito dal nemico con l'ATT più alto aumenta di 10%.</t>
  </si>
  <si>
    <t>Diritti e Doveri Lv 2</t>
  </si>
  <si>
    <t>Il DAN da tecnica segreta subito dal nemico con l'ATT più alto aumenta di 20%.</t>
  </si>
  <si>
    <t>Diritti e Doveri Lv 3</t>
  </si>
  <si>
    <t>Il DAN da tecnica segreta subito dal nemico con l'ATT più alto aumenta di 30%.</t>
  </si>
  <si>
    <t>Bonus Difesa: +4.8% | Riduzione DAN: +7.2% | Resistenza: +6.0</t>
  </si>
  <si>
    <t>Bonus Salute: +9.6% | Critico: +120.0 | Resistenza: +8.0</t>
  </si>
  <si>
    <t>Bonus Attacco: +9.6% | Sanguisuga: +30.0 | Rivelazione: +8.0</t>
  </si>
  <si>
    <t>Bonus Salute: +4.8% | Effetto Cura: +6.0% | Resistenza: +6.0</t>
  </si>
  <si>
    <t>MARCHIO: DANNO DELLA SEGRETEZZA</t>
  </si>
  <si>
    <t>Danno della Segretezza</t>
  </si>
  <si>
    <t>Problemi dei Mortali</t>
  </si>
  <si>
    <t>Problemi dei Mortali Lv 1</t>
  </si>
  <si>
    <t>Tutti i nemici ricevono le tre prove delle fasi della vita (dura 4s). Alba: riduce ATT di 30%; Mezzogiorno: riduce DIF di 30%; Tramonto: riduce Vel. ATT di 30%. (Inizio: 1.50s | Fine: 2.40s)</t>
  </si>
  <si>
    <t>Problemi dei Mortali Lv 2</t>
  </si>
  <si>
    <t>Alba: riduce ATT e prob. crit. di 30%; Mezzogiorno: riduce DIF e tenacia di 30%; Tramonto: riduce Vel. ATT di 30% e rallentamento di 30 punti.</t>
  </si>
  <si>
    <t>Problemi dei Mortali Lv 3</t>
  </si>
  <si>
    <t>Alba: riduce ATT di 30% e applica [sigillo] (impossibile usare tecniche segrete o ottenere cosmo); Mezzogiorno: riduce DIF di 30% e applica [timore]; Tramonto: riduce Vel. ATT di 30% e applica [silenzio].</t>
  </si>
  <si>
    <t>Conoscere sé stessi</t>
  </si>
  <si>
    <t>Conoscere sé stessi Lv 1</t>
  </si>
  <si>
    <t>Ogni volta che i nemici causano DAN totale pari al 100% dei propri PS massimi, riduce i loro ATT e DIF del 5% (accumulabile fino a 1 livello).</t>
  </si>
  <si>
    <t>Conoscere sé stessi Lv 2</t>
  </si>
  <si>
    <t>Accumulabile fino a 2 livelli.</t>
  </si>
  <si>
    <t>Conoscere sé stessi Lv 3</t>
  </si>
  <si>
    <t>Accumulabile fino a 3 livelli.</t>
  </si>
  <si>
    <t>Bonus Difesa: +9.6% | Tenacia: +120.0 | Rivelazione: +8.0</t>
  </si>
  <si>
    <t>Bonus Salute: +4.8% | Velocità Attacco: +12.0% | Resistenza: +6.0</t>
  </si>
  <si>
    <t>Bonus Attacco: +9.6% | Critico: +120.0 | Rivelazione: +8.0</t>
  </si>
  <si>
    <t>Bonus Attacco: +4.8% | Sanguisuga: +30.0 | Resistenza: +6.0</t>
  </si>
  <si>
    <t>Bonus Salute: +9.6% | Accelerazione: +12.0 | Rivelazione: +8.0</t>
  </si>
  <si>
    <t>MARCHIO: TERRORE DEL DEMONE INTERIORE</t>
  </si>
  <si>
    <t>Terrore del Demone Interiore</t>
  </si>
  <si>
    <t>Canto di Seduzione</t>
  </si>
  <si>
    <t>Canto di Seduzione Lv 1</t>
  </si>
  <si>
    <t>Causa [seduzione] a tutti i nemici per 1 secondo. (Inizio: 1.50s | Fine: 2.40s)</t>
  </si>
  <si>
    <t>Canto di Seduzione Lv 2</t>
  </si>
  <si>
    <t>Causa [seduzione] a tutti i nemici per 2 secondi. Inoltre purifica tutti i Saint alleati.</t>
  </si>
  <si>
    <t>Canto di Seduzione Lv 3</t>
  </si>
  <si>
    <t>Causa [seduzione] a tutti i nemici per 3 secondi. Purifica tutti i Saint alleati e disperde i buff di tutti i Saint nemici.</t>
  </si>
  <si>
    <t>Ferrea Volontà</t>
  </si>
  <si>
    <t>Ferrea Volontà Lv 1</t>
  </si>
  <si>
    <t>Ogni 5 secondi, i Saint alleati recuperano il 3% dei PS massimi extra.</t>
  </si>
  <si>
    <t>Ferrea Volontà Lv 2</t>
  </si>
  <si>
    <t>Ogni 5 secondi, i Saint alleati recuperano il 6% dei PS massimi extra.</t>
  </si>
  <si>
    <t>Ferrea Volontà Lv 3</t>
  </si>
  <si>
    <t>Ogni 5 secondi, i Saint alleati recuperano il 9% dei PS massimi extra.</t>
  </si>
  <si>
    <t>Bonus Salute: +9.6% | Effetto Cura Ricevuta: +7.2% | Resistenza: +8.0</t>
  </si>
  <si>
    <t>Bonus Difesa: +9.6% | Fermezza: +120.0 | Resistenza: +8.0</t>
  </si>
  <si>
    <t>Bonus Salute: +4.8% | Precisione: +120.0 | Rivelazione: +6.0</t>
  </si>
  <si>
    <t>Bonus Salute: +4.8% | Tenacia: +120.0 | Rivelazione: +6.0</t>
  </si>
  <si>
    <t>Bonus Difesa: +9.6% | Riduzione DAN: +7.2% | Rivelazione: +8.0</t>
  </si>
  <si>
    <t>MARCHIO: PERGAMENA DEL DIO DELLA MEDICINA</t>
  </si>
  <si>
    <t>Pergamena del Dio della Medicina</t>
  </si>
  <si>
    <t>Respiro Vitale</t>
  </si>
  <si>
    <t>Respiro Vitale Lv 1</t>
  </si>
  <si>
    <t>Tutti i Saint alleati ottengono uno scudo pari al 200% dell'ATT medio dei Saint alleati, dura 5 secondi. (Inizio: 1.50s | Fine: 2.40s)</t>
  </si>
  <si>
    <t>Respiro Vitale Lv 2</t>
  </si>
  <si>
    <t>Tutti i Saint alleati ottengono uno scudo pari al 240% dell'ATT medio e aumentano la DIF del 30%, dura 5 secondi.</t>
  </si>
  <si>
    <t>Respiro Vitale Lv 3</t>
  </si>
  <si>
    <t>Tutti i Saint alleati ottengono uno scudo pari al 280% dell'ATT medio e aumentano la DIF del 30%, dura 5 secondi.</t>
  </si>
  <si>
    <t>Bonus Difesa: +8.0% | Riduzione DAN: +6.0% | Resistenza: +6.0</t>
  </si>
  <si>
    <t>Bonus Salute: +8.0% | Fermezza: +100.0 | Resistenza: +6.0</t>
  </si>
  <si>
    <t>Bonus Salute: +4.0% | Precisione: +100.0 | Rivelazione: +4.0</t>
  </si>
  <si>
    <t>Bonus Difesa: +4.0% | Sanguisuga: +24.0 | Rivelazione: +4.0</t>
  </si>
  <si>
    <t>Bonus Salute: +8.0% | Effetto Cura: +6.0% | Resistenza: +6.0</t>
  </si>
  <si>
    <t>MARCHIO: SPADA DELLA VITTORIA</t>
  </si>
  <si>
    <t>Spada della Vittoria</t>
  </si>
  <si>
    <t>Speranza di Vittoria</t>
  </si>
  <si>
    <t>Speranza di Vittoria Lv 1</t>
  </si>
  <si>
    <t>Riduce l'ATT del Saint nemico del 30%, dura 4 secondi. (Inizio: 1.50s | Fine: 2.40s)</t>
  </si>
  <si>
    <t>Speranza di Vittoria Lv 2</t>
  </si>
  <si>
    <t>Riduce l'ATT del Saint nemico del 40% (durata 4s) e ogni lancio di abilità cicliche fa perdere 300 cosmo extra.</t>
  </si>
  <si>
    <t>Speranza di Vittoria Lv 3</t>
  </si>
  <si>
    <t>Riduce ATT e DIF del Saint nemico del 50% (durata 4s) e ogni lancio di abilità cicliche fa perdere 600 cosmo extra.</t>
  </si>
  <si>
    <t>Bonus Difesa: +4.0% | Fermezza: +100.0 | Resistenza: +4.0</t>
  </si>
  <si>
    <t>Bonus Attacco: +8.0% | Danno Critico: +100.0 | Rivelazione: +6.0</t>
  </si>
  <si>
    <t>Bonus Attacco: +8.0% | Accelerazione: +12.0 | Rivelazione: +6.0</t>
  </si>
  <si>
    <t>Bonus Salute: +8.0% | Bonus DAN: +6.0% | Resistenza: +6.0</t>
  </si>
  <si>
    <t>MARCHIO: NAVE EROICA</t>
  </si>
  <si>
    <t>Nave Eroica</t>
  </si>
  <si>
    <t>Vello d'Oro</t>
  </si>
  <si>
    <t>Vello d'Oro Lv 1</t>
  </si>
  <si>
    <t>Seleziona il Saint alleato con il DAN massimo, aumenta Vel. ATT del 35% e accelerazione di 15 per 6s; infliggendo DAN applica 1 livello di effetto negativo che riduce l'accelerazione di 25 (accumulabile fino a 2 livelli). (Inizio: 1.50s | Fine: 2.40s)</t>
  </si>
  <si>
    <t>Vello d'Oro Lv 2</t>
  </si>
  <si>
    <t>Durante la benedizione, ogni 3 secondi purifica tutti gli effetti di controllo del Saint bersaglio.</t>
  </si>
  <si>
    <t>Vello d'Oro Lv 3</t>
  </si>
  <si>
    <t>Gli effetti negativi si accumulano fino a 3 livelli, azzerandosi e applicando [rigidità] al bersaglio nemico per 2 secondi.</t>
  </si>
  <si>
    <t>Strega Stratega</t>
  </si>
  <si>
    <t>Strega Stratega Lv 1</t>
  </si>
  <si>
    <t>Ogni 6 secondi lancia una maledizione al nemico che infligge DAN massimo (riducendo il DAN inflitto del 35%, durata 4s).</t>
  </si>
  <si>
    <t>Strega Stratega Lv 2</t>
  </si>
  <si>
    <t>Il bersaglio maledetto ha il recupero energia ridotto del 35%.</t>
  </si>
  <si>
    <t>Strega Stratega Lv 3</t>
  </si>
  <si>
    <t>Il DAN ricevuto dal bersaglio maledetto aumenta di un ulteriore 35%.</t>
  </si>
  <si>
    <t>MARCHIO: TRAPPOLA NEL LABIRINTO</t>
  </si>
  <si>
    <t>Trappola nel Labirinto</t>
  </si>
  <si>
    <t>Re Toro</t>
  </si>
  <si>
    <t>Re Toro Lv 1</t>
  </si>
  <si>
    <t>Sferra un colpo possente a tutti i nemici (DAN pari a 300% ATT medio degli alleati) e aumenta i danni ricevuti dai nemici del 50% per i successivi 5 secondi. (Inizio: 1.60s | Fine: 2.40s)</t>
  </si>
  <si>
    <t>Re Toro Lv 2</t>
  </si>
  <si>
    <t>Aumenta permanentemente l'accelerazione dei Saint alleati di 25 e riduce quella dei nemici di 25.</t>
  </si>
  <si>
    <t>Re Toro Lv 3</t>
  </si>
  <si>
    <t>Dopo il 3° lancio attivo, i Saint alleati ottengono immunità ai DAN continuativi per il resto della battaglia.</t>
  </si>
  <si>
    <t>Gomitolo della Principessa</t>
  </si>
  <si>
    <t>Gomitolo Lv 1</t>
  </si>
  <si>
    <t>Quando il DAN totale ricevuto dai Saint alleati supera per la prima volta il 70% dei PS massimi, fornisce uno scudo pari al 30% dei PS massimi (durata 4s).</t>
  </si>
  <si>
    <t>Gomitolo Lv 2</t>
  </si>
  <si>
    <t>Quando ottiene lo scudo, purifica tutti i debuff e ottiene [benedizione].</t>
  </si>
  <si>
    <t>Gomitolo Lv 3</t>
  </si>
  <si>
    <t>Se lo scudo viene distrutto, recupera PS pari al 300% dell'ATT e 3000 punti Cosmo nei successivi 3 secondi.</t>
  </si>
  <si>
    <t>SCHEDA PERSONAGGIO: Sage</t>
  </si>
  <si>
    <t>AREA 1: PROFILO E STATISTICHE</t>
  </si>
  <si>
    <t>SCHEDA PERSONAGGIO: Shura (Capricorno in Armatura Divina)</t>
  </si>
  <si>
    <t>Nome</t>
  </si>
  <si>
    <t>Sage</t>
  </si>
  <si>
    <t>Titolo / Genere</t>
  </si>
  <si>
    <t>Grand Pope</t>
  </si>
  <si>
    <t>Shura (Capricorno in Armatura Divina)</t>
  </si>
  <si>
    <t>Tipo (Elemento)</t>
  </si>
  <si>
    <t>Luce</t>
  </si>
  <si>
    <t>Classe</t>
  </si>
  <si>
    <t>Supporto</t>
  </si>
  <si>
    <t>Campo</t>
  </si>
  <si>
    <t>Capricorno in Armatura Divina</t>
  </si>
  <si>
    <t>Atena</t>
  </si>
  <si>
    <t>Evocazione</t>
  </si>
  <si>
    <t>Petalo</t>
  </si>
  <si>
    <t>Uscita</t>
  </si>
  <si>
    <t>2026-07-09</t>
  </si>
  <si>
    <t>Ombra</t>
  </si>
  <si>
    <t>PV</t>
  </si>
  <si>
    <t>452,967 / 652,793</t>
  </si>
  <si>
    <t>ATT</t>
  </si>
  <si>
    <t>Guerriero</t>
  </si>
  <si>
    <t>49,536 / 55,477</t>
  </si>
  <si>
    <t>DIF</t>
  </si>
  <si>
    <t>8,711 / 11,384</t>
  </si>
  <si>
    <t>Guadagno Cosmos (ATT)</t>
  </si>
  <si>
    <t>1,053 / 1,160</t>
  </si>
  <si>
    <t>Guadagno Cosmos (DANNO)</t>
  </si>
  <si>
    <t>2024-08-28</t>
  </si>
  <si>
    <t>179 / 197</t>
  </si>
  <si>
    <t>449864 / 652793</t>
  </si>
  <si>
    <t>AREA 2: ABILITA'</t>
  </si>
  <si>
    <t>50849 / 55477</t>
  </si>
  <si>
    <t>8273 / 11384</t>
  </si>
  <si>
    <t>Talisman Cage (Arcano)</t>
  </si>
  <si>
    <t>1021 / 1160</t>
  </si>
  <si>
    <t>Lv 1: Passiva: finché Sage è in campo, alleati non ricevono DAN &gt; 15% PS max Sage in 1s (limite 200% ATT). Attivo: barriera Talismani di Atena, nemici subiscono rid. ATT pari a 30% ATT Sage (+50% vs Divinità/Spectre) che dà bonus alleati. Gabbia dura max 8s. Lv 2: Nemici con abilità attiva subiscono DAN 300% ATT. Lv 3: Purificazione potente a inizio/fine barriera. Inizio: 1.400s | Fine: 3.13s | Cosmos DANNO: 268</t>
  </si>
  <si>
    <t>174 / 197</t>
  </si>
  <si>
    <t>Sekishiki Meikai Ha (Ciclo)</t>
  </si>
  <si>
    <t>Lv 1: Attacca 3 nemici di fronte, distrugge 20% cosmo, riduce ATT 50% per 4s. A fine effetto DAN 200% ATT. Lv 2: Riduce anche DIF 50%. Lv 3: Riduce recupero salute 50%. Lv 4: Se Divinità o Spectre, DAN 300% ATT. Inizio: 1.666s | Fine: 2.90s | Ritardo: 4.20s | Ricarica: 11.00s | Cosmos ATT: 1770 | Cosmos DANNO: 346</t>
  </si>
  <si>
    <t>Talismani di Atena (Apertura)</t>
  </si>
  <si>
    <t>Lv 1: Applica Talismano a 1 nemico posteriore (DAN 280% ATT), blocca abilità cicliche finché attivo. Lv 2: Alla rimozione si trasferisce a un altro nemico. Lv 3: Se interrotta, si riattiva 5s dopo. Inizio: 1.000s | Fine: 2.13s | Cosmos ATT: 1012 | Ordine d'azione: 10</t>
  </si>
  <si>
    <t>Potere dell'Arca Sacra (Innesco)</t>
  </si>
  <si>
    <t>Lv 1: Ogni 2 rimozioni Talismani rinchiude 1 nemico nell'Arca Sacra (perde 8% PS max/sec per 3s; 5s vs Divinità/Spectre). Lv 2: Perde 500 cosmo/sec. Lv 3: Alleati recuperano PS e Cosmo in base alla perdita del rinchiuso.</t>
  </si>
  <si>
    <t>Excalibur - God (Arcano)</t>
  </si>
  <si>
    <t>Lv 1: Fende lo spazio, attacca 3 nemici di fronte (180% ATT), distrugge qualunque effetto di [abilità dimensione] facendolo terminare immediatamente. Lv 2: Se distrugge dimensione, ottiene stato [penetrazione] per 3s (attacchi ignorano DIF, scudi e rid. DAN). Lv 3: DAN 210% ATT, ATT +40% fino a fine battaglia se distrugge dimensione (max 3 liv). Inizio: 1.533s | Fine: 2.53s | Cosmos DANNO: 268</t>
  </si>
  <si>
    <t>AREA 3: ARMATURA</t>
  </si>
  <si>
    <t>Taglio Orizzontale di Excalibur (Ciclo)</t>
  </si>
  <si>
    <t>Lv 1: Taglio a tutti i nemici (110% ATT). Lv 2: Distrugge Cloth nemici, riducendo DIF permanentemente del 20% (max 2 liv). Lv 3: Ogni bersaglio colpito riduce ricarica dell'8%. Lv 4: Riduzione DIF cumulabile fino a 3 livelli. Inizio: 0.725s | Fine: 1.63s | Ritardo: 3.90s | Ricarica: 12.00s | Cosmos ATT: 1352 | Cosmos DANNO: 268</t>
  </si>
  <si>
    <t>Spada Spezza-baleno (Apertura)</t>
  </si>
  <si>
    <t>Lv 1: Balzo iniziale, attacca nemici di fronte con Excalibur. Annulla temporaneamente tutti i [buff] e impedisce di ottenerne per 3s. Lv 2: Durata 4s. Lv 3: Durata 5s. Inizio: 1.567s | Fine: 2.40s | Ordine d'azione: 10</t>
  </si>
  <si>
    <t>Volontà di Excalibur - Alt (Passivo)</t>
  </si>
  <si>
    <t>Nome Armatura</t>
  </si>
  <si>
    <t>Lv 1: Ogni bersaglio colpito da Taglio Orizzontale dà 1 livello di [Volontà di Excalibur] (+4% ATT per livello, max 15 liv). Lv 2: Ogni livello dà anche +3% prob. sanguisuga. Lv 3: Ogni livello dà +2% rid. DAN.</t>
  </si>
  <si>
    <t>Cancro Gold Cloth [Sage - Esclusivo]</t>
  </si>
  <si>
    <t>30 (range 0-40)</t>
  </si>
  <si>
    <t>Risorse</t>
  </si>
  <si>
    <t>Sangue di Dio: 0</t>
  </si>
  <si>
    <t>Effetti Lv 1</t>
  </si>
  <si>
    <t>Sekishiki Meikai Ha distrugge 30% cosmo.</t>
  </si>
  <si>
    <t>Capricorno God Cloth [Shura - Esclusivo]</t>
  </si>
  <si>
    <t>Effetti Lv 2</t>
  </si>
  <si>
    <t>Debuff Sekishiki dura 6s.</t>
  </si>
  <si>
    <t>Effetti Lv 3</t>
  </si>
  <si>
    <t>Talisman Cage riduce ATT fino a 50% ATT Sage.</t>
  </si>
  <si>
    <t>Effetti Lv 4</t>
  </si>
  <si>
    <t>In Talisman Cage, passivi/attivazioni bersagli eliminati per 3s.</t>
  </si>
  <si>
    <t>Bonus Statistiche</t>
  </si>
  <si>
    <t>Bersaglio colpito da tecnica segreta non può recuperare PS per 3s.</t>
  </si>
  <si>
    <t>Bonus Salute: 18% | Bonus Attacco: 18% | Bonus Difesa: 15% | Accelerazione: 30</t>
  </si>
  <si>
    <t>Interrompe bersaglio con tecnica segreta; se interrompe dimensione, azzera ricarica abilità cicliche.</t>
  </si>
  <si>
    <t>AREA 4: COSTELLAZIONI</t>
  </si>
  <si>
    <t>Recupero cosmo +12,5%; abilità dimensione alleata/nemica fa recuperare subito 2000 cosmo.</t>
  </si>
  <si>
    <t>Recupero cosmo +25%; abilità dimensione fa recuperare subito 4000 cosmo.</t>
  </si>
  <si>
    <t>Bonus Salute: 15% | Bonus Attacco: 18% | Bonus Difesa: 18% | Accelerazione: 30</t>
  </si>
  <si>
    <t>Configurazioni</t>
  </si>
  <si>
    <t>C9 / C36</t>
  </si>
  <si>
    <t>Effetti C3</t>
  </si>
  <si>
    <t>Nemico con Talismano ha recupero cosmo -20%.</t>
  </si>
  <si>
    <t>Effetti C9</t>
  </si>
  <si>
    <t>A inizio battaglia applica Talismano a 2 nemici casuali posteriori.</t>
  </si>
  <si>
    <t>Gemme C9 (Superiore)</t>
  </si>
  <si>
    <t>Bonus Salute: 12.00% | Fermezza: 132.0 | Bonus Attacco: 3.90%</t>
  </si>
  <si>
    <t>Gemme C9 (Centrale)</t>
  </si>
  <si>
    <t>DAN di Taglio Orizzontale di Excalibur diventa DAN reale.</t>
  </si>
  <si>
    <t>SCHEDA PERSONAGGIO: Hécate</t>
  </si>
  <si>
    <t>Bonus Attacco: 7.50% | Effetto Cura: 6.00% | Fermezza: 69.0</t>
  </si>
  <si>
    <t>DAN di Taglio Orizzontale riduce permanentemente il limite massimo di salute dei nemici e aumenta dello stesso valore il limite massimo di salute di Shura (fino a 200% PS massimi).</t>
  </si>
  <si>
    <t>Gemme C9 (Inferiore)</t>
  </si>
  <si>
    <t>Bonus Difesa: 26.40% | Schivata: 96.0 | Bonus Salute: 7.20%</t>
  </si>
  <si>
    <t>Bonus Salute: 12.00% | Schivata: 96.0 | Bonus Attacco: 3.90%</t>
  </si>
  <si>
    <t>Bonus Attacco: 7.50% | Tenacia: 114.0 | Bonus Salute: 7.20%</t>
  </si>
  <si>
    <t>Bonus Difesa: 26.40% | Sanguisuga: 48.0 | Critico: 72.0</t>
  </si>
  <si>
    <t>Hécate</t>
  </si>
  <si>
    <t>Strega della Luna</t>
  </si>
  <si>
    <t>ALL + Specter</t>
  </si>
  <si>
    <t>Stellare</t>
  </si>
  <si>
    <t>2024-10-30</t>
  </si>
  <si>
    <t>450602 / 652793</t>
  </si>
  <si>
    <t>47097 / 55477</t>
  </si>
  <si>
    <t>8687 / 11384</t>
  </si>
  <si>
    <t>Illusione della Strega (Arcano)</t>
  </si>
  <si>
    <t>Lv 1: Imprigiona nemici in una nebbia e crea immagine illusoria di una strega; attacchi di abilità nemici verso alleati trasferiti sull'illusione. Illusione usa attacchi normali, DAN da abilità subito -20%, max 8s. Se subisce DAN &gt; 100% PS max Hecate, scompare prima. Lv 2: DAN abilità -25%. Lv 3: DAN abilità -30%. Inizio: 3.690s | Fine: 4.00s</t>
  </si>
  <si>
    <t>Trasformazione: Corvo (Ciclo)</t>
  </si>
  <si>
    <t>Lv 1: Si trasforma in corvo, attacca 3 nemici (160% ATT), mantiene forma fino a 3s (può lanciare abilità ma no attacchi normali, immune controlli). Termina con tecnica segreta o interruzione. Lv 2: In forma di corvo, se nemico lancia abilità, lancia piume (100% ATT) e disperde buff. Lv 3: DAN iniziale 200% ATT. Lv 4: Durata forma corvo 4s. Inizio: 1.250s | Fine: 1.87s | Ritardo: 4.50s | Ricarica: 11.50s | Cosmos ATT: 1021 | Cosmos DANNO: 174</t>
  </si>
  <si>
    <t>Assorbimento di Energia (Innesco)</t>
  </si>
  <si>
    <t>Lv 1: Subendo attacco abilità in forma propria o illusione, sottrae [energia] (trasferisce a Hecate 15 accelerazione, 15% ATT e DIF del bersaglio). Max 2 livelli per personaggio, durata max 8s. Lv 2: Max 3 livelli. Lv 3: A 3 liv. recupera subito 100% PS persi e 3000 cosmo (intervallo 5s).</t>
  </si>
  <si>
    <t>Favore della Luna (Passivo)</t>
  </si>
  <si>
    <t>Lv 1: Ogni 8s illumina qualcuno (alleato dà 1 liv. energia, nemico fa perdere 1 liv. energia), dura 8s. Lv 2: Raggio ogni 7s. Lv 3: Raggio ogni 6s.</t>
  </si>
  <si>
    <t>Mantella di Hecate [Hecate - Esclusivo]</t>
  </si>
  <si>
    <t>Splendore infligge DAN 160% ATT e interruzione temporanea.</t>
  </si>
  <si>
    <t>Splendore cura alleato (160% ATT) e riduce ricarica abilità ciclica di 3s.</t>
  </si>
  <si>
    <t>Quando illusione scompare, riflette tutti i DAN subiti equamente ai nemici e [acceca] per 2.5s.</t>
  </si>
  <si>
    <t>Se muore la prima volta, evoca illusione (max 8s); se non scompare in anticipo, Hecate resuscita con 100% PS.</t>
  </si>
  <si>
    <t>Bonus Salute: 15% | Bonus Attacco: 15% | Bonus Difesa: 15% | Accelerazione: 30</t>
  </si>
  <si>
    <t>Quando Favore della Luna raggiunge il livello massimo, raggio ogni 5s.</t>
  </si>
  <si>
    <t>In forma di corvo recupera 1000 cosmo extra al secondo e DAN inflitto diventa DAN reale.</t>
  </si>
  <si>
    <t>Bonus Salute: 12.00% | Fermezza: 132.0 | Bonus Difesa: 15.90%</t>
  </si>
  <si>
    <t>Bonus Attacco: 7.50% | Effetto Cura: 6.00% | Bonus Salute: 7.20%</t>
  </si>
  <si>
    <t>Bonus Difesa: 26.40% | Schivata: 96.0 | Effetto Cura: 4.20%</t>
  </si>
  <si>
    <t>SCHEDA PERSONAGGIO: Cain·Abel</t>
  </si>
  <si>
    <t>Cain·Abel</t>
  </si>
  <si>
    <t>Gemini</t>
  </si>
  <si>
    <t>SCHEDA PERSONAGGIO: Aiacos</t>
  </si>
  <si>
    <t>Assassino</t>
  </si>
  <si>
    <t>2024-03-27</t>
  </si>
  <si>
    <t>403554 / 652793</t>
  </si>
  <si>
    <t>53448 / 55477</t>
  </si>
  <si>
    <t>7868 / 11384</t>
  </si>
  <si>
    <t>1030 / 1160</t>
  </si>
  <si>
    <t>Aiacos</t>
  </si>
  <si>
    <t>175 / 197</t>
  </si>
  <si>
    <t>Stella Celeste del Valore</t>
  </si>
  <si>
    <t>Galaxian Explosion (Arcano)</t>
  </si>
  <si>
    <t>Lv 1: Evoca meteoriti che infliggono DAN a tutti i nemici 3 volte (130% ATT ciascuna). Lv 2: Effetti di stato differenti: Cain infligge DAN extra pari a 5% PS max (max 200% ATT); Abel ha 30% probabilità di applicare [sigillo] per 2s (impedisce tecniche segrete). Lv 3: Cain DAN extra 7% PS max (max 300% ATT); Abel probabilità [sigillo] con durata 3s. Inizio: 1.500s | Fine: 2.00s</t>
  </si>
  <si>
    <t>Genromaoken (Ciclo)</t>
  </si>
  <si>
    <t>Lv 1: Pugno demoniaco che infligge [panico] al bersaglio opposto per 1.50s (impedisce recupero cosmo). Lv 2: Durata [panico] sale a 2.50s. Lv 3: Cain fa perdere 400 cosmo ogni 0.5s durante panico; Abel fa recuperare 400 cosmo ogni 0.5s. Lv 4: Cain perde 500 cosmo; Abel recupera 500 cosmo. Inizio: 0.433s | Fine: 1.10s | Ritardo: 4.30s | Ricarica: 10.00s | Cosmos ATT: 995 | Cosmos DANNO: 600</t>
  </si>
  <si>
    <t>Specter</t>
  </si>
  <si>
    <t>Another Dimension (Ciclo)</t>
  </si>
  <si>
    <t>Lv 1: Apre dimensione per 8s. Alleati recuperano PS (60% ATT di Cain) ogni 2s; nemici subiscono DAN (60% ATT di Abel) ogni 2s. Lv 2: Se PS &lt; 50%, cura Cain +100%; se PS &gt; 50%, DAN Abel +100%. Lv 3: Alleati in dimensione recuperano 600 cosmo extra ogni 2s; nemici perdono 600 cosmo ogni 2s. Inizio: 0.700s | Fine: 2.07s | Ritardo: 6.50s | Ricarica: 11.00s</t>
  </si>
  <si>
    <t>SCHEDA PERSONAGGIO: Minos</t>
  </si>
  <si>
    <t>Due Animi in un Corpo (Innesco)</t>
  </si>
  <si>
    <t>2024-03-16</t>
  </si>
  <si>
    <t>Lv 1: Inizia come Cain, cambia forma ogni 6s conferendo effetti extra alle abilità. Ogni trasformazione aumenta ATT e DIF del 15% (max 3 liv). Lv 2: Aumento ATT e DIF 20%. Lv 3: Aumento ATT e DIF 25%.</t>
  </si>
  <si>
    <t>429021 / 652793</t>
  </si>
  <si>
    <t>52883 / 55477</t>
  </si>
  <si>
    <t>7543 / 11384</t>
  </si>
  <si>
    <t>Gemelli Gold Cloth [Cain·Abel - Esclusivo]</t>
  </si>
  <si>
    <t>1093 / 1160</t>
  </si>
  <si>
    <t>186 / 197</t>
  </si>
  <si>
    <t>Durata [panico] di Genromaoken aumenta di 1s e infligge DAN extra pari a 300% ATT alla fine.</t>
  </si>
  <si>
    <t>Quando cambia forma, rimuove tutti i debuff e azzera le ricariche delle abilità.</t>
  </si>
  <si>
    <t>Non subisce gli effetti di alcuna dimensione in battaglia.</t>
  </si>
  <si>
    <t>Quando si trova in un'abilità di dimensione, tutti i DAN subiti sono ridotti del 50%.</t>
  </si>
  <si>
    <t>Galactica Illusion (Arcano)</t>
  </si>
  <si>
    <t>Bonus Salute: 12% | Bonus Attacco: 18% | Bonus Difesa: 18% | Schivata: 90</t>
  </si>
  <si>
    <t>Lv 1: Manda in aria l'unità nemica con cosmo più basso per 3s, infligge 360% ATT e distrugge tutto il cosmo; +1% DAN extra per ogni 1% di cosmo posseduto dal bersaglio. Lv 2: Per 6s il bersaglio non può recuperare cosmo. Lv 3: DAN extra sale a 1.5% per ogni 1% di cosmo. Inizio: 1.333s | Fine: 2.63s | Cosmos DANNO: 600</t>
  </si>
  <si>
    <t>Minos</t>
  </si>
  <si>
    <t>Garuda Flap (Ciclo)</t>
  </si>
  <si>
    <t>Lv 1: Lancia in aria il nemico con cosmo più basso per 2s (280% ATT); se il cosmo non è al massimo, per ogni 1% mancante, il DAN aumenta del 1%. Lv 2: Durata lancio 3s. Lv 3: DAN extra 1.5% per ogni 1% di cosmo mancante. Lv 4: Ogni volta che lancia tecnica segreta azzera ricarica di questa abilità. Inizio: 1.267s | Fine: 3.50s | Ritardo: 4.00s | Ricarica: 10.00s | Cosmos ATT: 1540 | Cosmos DANNO: 600</t>
  </si>
  <si>
    <t>Dark Wave (Apertura)</t>
  </si>
  <si>
    <t>Lv 1: A inizio battaglia [rompe] il nemico opposto (annulla effetti attivi e passivi) finché lancia tecnica segreta o Aiacos muore (durata max 10s). Lv 2: Durata 15s. Lv 3: Durata 20s. Inizio: 0.001s | Fine: 0.01s | Ordine d'azione: 10</t>
  </si>
  <si>
    <t>Dopo Due Animi al massimo, ogni trasformazione aumenta ATT e DIF del 35%.</t>
  </si>
  <si>
    <t>Ala Difensiva (Passivo)</t>
  </si>
  <si>
    <t>Stella Celeste della Nobiltà</t>
  </si>
  <si>
    <t>Dopo aver cambiato forma 2 volte in totale, tutte le abilità possiedono gli effetti di entrambe le forme.</t>
  </si>
  <si>
    <t>Lv 1: Ogni secondo recupera 1.5% PS max; se subisce DAN abilità, l'effetto si ferma per 4s. Lv 2: Recupera 2% PS max e cosmo/sec. Lv 3: Recupera 2.5% PS max e cosmo/sec.</t>
  </si>
  <si>
    <t>Bonus Salute: 12.00% | Precisione: 108.0 | Bonus Difesa: 16.50%</t>
  </si>
  <si>
    <t>Bonus Attacco: 7.50% | Critico: 96.0 | Accelerazione: 12.0</t>
  </si>
  <si>
    <t>Bonus Difesa: 26.40% | Velocità Attacco: 7.50% | Bonus Attacco: 3.90%</t>
  </si>
  <si>
    <t>Aiacos Stella del Cielo Intrepido [Aiacos - Esclusivo]</t>
  </si>
  <si>
    <t>Lanciando Garuda Wings, per ogni 20% cosmo perso dal bersaglio, Aiacos aumenta l'ATT del 10% (max 100%).</t>
  </si>
  <si>
    <t>2023-11-22</t>
  </si>
  <si>
    <t>Per ogni 10% cosmo perso dal bersaglio, ATT +20% (max 200%).</t>
  </si>
  <si>
    <t>437536 / 652793</t>
  </si>
  <si>
    <t>Lanciando Galactica Illusion, per ogni 20% cosmo bruciato, accelerazione +5 (max 100).</t>
  </si>
  <si>
    <t>Per ogni 10% cosmo bruciato, accelerazione +10 (max 200).</t>
  </si>
  <si>
    <t>49801 / 55477</t>
  </si>
  <si>
    <t>Bonus Salute: 15% | Bonus Attacco: 18% | Bonus Difesa: 15% | Precisione: 120</t>
  </si>
  <si>
    <t>8354 / 11384</t>
  </si>
  <si>
    <t>L'effetto di [Rottura] di Dark Wave non può essere purificato.</t>
  </si>
  <si>
    <t>Ogni volta che un nemico muore o lascia il campo, Dark Wave si attiva 1 volta verso un nemico casuale.</t>
  </si>
  <si>
    <t>Bonus Salute: 12.00% | Precisione: 108.0 | Accelerazione: 12.0</t>
  </si>
  <si>
    <t>Bonus Attacco: 7.50% | Critico: 96.0 | Bonus Difesa: 16.50%</t>
  </si>
  <si>
    <t>Cosmic Marionation (Arcano)</t>
  </si>
  <si>
    <t>Lv 1: Crea fili per controllare il corpo del nemico con l'ATT più alto (attacca i propri alleati). Dura 4s, colpisce sicuramente e non può essere disperso. Lv 2: 50% del DAN subito da Minos sostenuto dal bersaglio. Lv 3: 100% del DAN subito da Minos sostenuto dal bersaglio. Inizio: 1.733s | Fine: 2.27s | Cosmos DANNO: 600</t>
  </si>
  <si>
    <t>Gigantic Feathers Flap (Ciclo)</t>
  </si>
  <si>
    <t>Lv 1: Si racchiude nelle ali, purifica i debuff e si carica per 2.5s, poi rilascia uragano su tutti i nemici (150% ATT). Durante la carica recupera 500 cosmo ogni 0.5s. Lv 2: Uragano respinge per 1s. Lv 3: DAN ridotti del 50% durante carica. Lv 4: DAN ridotti del 75% durante carica. Inizio: 2.133s | Fine: 2.93s | Ritardo: 4.40s | Ricarica: 11.00s | Cosmos ATT: 1210 | Cosmos DANNO: 268</t>
  </si>
  <si>
    <t>Filo degli Inferi (Apertura)</t>
  </si>
  <si>
    <t>Lv 1: Filo indistruttibile sul nemico con % salute maggiore. Quando Minos infligge DAN, il bersaglio subisce DAN pari al 3% dei propri PS max (max 500% ATT di Minos). Sceglie nuovo bersaglio ogni 10s. Lv 2: 4% PS max. Lv 3: 5% PS max. Inizio: 0.001s | Fine: 0.01s | Ordine d'azione: 30</t>
  </si>
  <si>
    <t>Marionetta Umana (Innesco)</t>
  </si>
  <si>
    <t>Lv 1: Se un nemico infligge DAN &gt; 600% ATT di Minos, subisce contrattacco (DAN reale 100% ATT di Minos). Lv 2: DAN reale 150% ATT. Lv 3: DAN reale 200% ATT.</t>
  </si>
  <si>
    <t>Stella del Cielo Nobile Surplice [Minos - Esclusivo]</t>
  </si>
  <si>
    <t>Gigantic Feathers Flap garantisce immunità a controllo e interruzione durante la carica.</t>
  </si>
  <si>
    <t>Gigantic Feathers Flap disperde la maggior parte dei buff nemici.</t>
  </si>
  <si>
    <t>Durata Cosmic Marionation prolungata fino a 8 secondi.</t>
  </si>
  <si>
    <t>Durante Cosmic Marionation, tutti i punti Cosmo e le cure ottenute dal bersaglio sono trasferiti a Minos.</t>
  </si>
  <si>
    <t>Quando il DAN totale inflitto dai nemici supera del 500% l'ATT di Minos, si attiva il contrattacco di Marionetta Umana.</t>
  </si>
  <si>
    <t>Quando il DAN di Minos infligge danni, si attiva anche Filo degli Inferi e tutto il DAN inflitto dal filo si trasforma in cura per Minos.</t>
  </si>
  <si>
    <t>Bonus Salute: 12.00% | Schivata: 96.0 | Precisione: 72.0</t>
  </si>
  <si>
    <t>Bonus Attacco: 7.50% | Critico: 96.0 | Bonus Salute: 7.50%</t>
  </si>
  <si>
    <t>Bonus Difesa: 26.40% | Precisione: 108.0 | Bonus Attacco: 3.30%</t>
  </si>
  <si>
    <t>SCHEDA PERSONAGGIO: Shun (Dio degli Inferi)</t>
  </si>
  <si>
    <t>Shun (Dio degli Inferi)</t>
  </si>
  <si>
    <t>Dio degli Inferi</t>
  </si>
  <si>
    <t>Protettore</t>
  </si>
  <si>
    <t>Divinità</t>
  </si>
  <si>
    <t>Dio</t>
  </si>
  <si>
    <t>2024-05-29</t>
  </si>
  <si>
    <t>600340 / 652793</t>
  </si>
  <si>
    <t>36011 / 55477</t>
  </si>
  <si>
    <t>11028 / 11384</t>
  </si>
  <si>
    <t>Risveglio del Dio degli Inferi (Arcano)</t>
  </si>
  <si>
    <t>Lv 1: Rilascia l'oscurità profonda, infliggendo DAN pari al 200% dell'ATT a tutti i nemici colpiti. Lv 2: Dopo Death Redemption, condivide il DAN a tutti i nemici pari al 25% del DAN extra subito. Lv 3: Condivide il DAN pari al 50% del DAN extra subito. Inizio: 0.933s | Fine: 1.13s</t>
  </si>
  <si>
    <t>Death Redemption (Ciclo)</t>
  </si>
  <si>
    <t>Lv 1: Recupera temporaneamente la salute al massimo; nei successivi 4s il 30% dei danni subiti da tutti gli alleati viene reindirizzato a Shun Hades. La salute torna al valore originale dopo 4s (effetto non disperdibile). Lv 2: 35% reindirizzato. Lv 3: 40% reindirizzato. Lv 4: 45% reindirizzato. Inizio: 0.100s | Fine: 0.50s | Ritardo: 3.50s | Ricarica: 10.00s | Cosmos ATT: 500</t>
  </si>
  <si>
    <t>Cuore Sacro (Passivo)</t>
  </si>
  <si>
    <t>Lv 1: Quando Shun Hades è in campo, se un'abilità nemica colpisce più di 2 alleati contemporaneamente, la metà di essi (arrotondata per difetto) è casualmente immune. Intervallo 6s. Lv 2: Intervallo 5s. Lv 3: Intervallo 4s.</t>
  </si>
  <si>
    <t>Protezione Divina (Passivo)</t>
  </si>
  <si>
    <t>SCHEDA PERSONAGGIO: Hypnos</t>
  </si>
  <si>
    <t>Lv 1: Rimane sospeso in aria, immune a tutti i danni. Subendo controllo, atterra per 5s e i danni subiti aumentano del 60%. Lv 2: Danni aumentati del 50%. Lv 3: Danni aumentati del 40%.</t>
  </si>
  <si>
    <t>Ciondolo di Shun [Shun Hades - Esclusivo]</t>
  </si>
  <si>
    <t>Usando la Tecnica Segreta, distribuisce il 75% del valore totale dei danni addizionali ricevuti tramite Death Redemption su tutti i nemici.</t>
  </si>
  <si>
    <t>Death Redemption permette di assorbire il 60% dei danni inflitti a tutti i compagni.</t>
  </si>
  <si>
    <t>Immune completamente agli effetti di controllo non interrompibili (intervallo 10s).</t>
  </si>
  <si>
    <t>Hypnos</t>
  </si>
  <si>
    <t>Immune completamente agli effetti non interrompibili (intervallo 5s).</t>
  </si>
  <si>
    <t>Bonus Salute: 24% | Bonus Attacco: 15% | Bonus Difesa: 18% | Tenacia: 120</t>
  </si>
  <si>
    <t>Dio del Sonno</t>
  </si>
  <si>
    <t>L'intervallo di attivazione di Cuore Sacro si riduce ulteriormente di 1.5 secondi.</t>
  </si>
  <si>
    <t>Quando Protezione Divina è al livello massimo, i danni ricevuti mentre è sotto controllo aumentano del 20% extra.</t>
  </si>
  <si>
    <t>Bonus Salute: 12.00% | Effetto Cura Ricevuta: 6.00% | Tenacia: 72.0</t>
  </si>
  <si>
    <t>Bonus Attacco: 7.50% | Fermezza: 132.0 | Bonus Salute: 7.50%</t>
  </si>
  <si>
    <t>Bonus Difesa: 26.40% | Velocità Attacco: 7.50% | Fermezza: 69.0</t>
  </si>
  <si>
    <t>2023-05-17</t>
  </si>
  <si>
    <t>463490 / 652793</t>
  </si>
  <si>
    <t>46957 / 55477</t>
  </si>
  <si>
    <t>9487 / 11384</t>
  </si>
  <si>
    <t>Eternal Drowsiness (Arcano)</t>
  </si>
  <si>
    <t>Lv 1: Crea una Dimensione Onirica per 6s. Hypnos è immune ai danni, gli alleati rigenerano salute pari al 50% dell'ATT di Hypnos ogni secondo. I nemici non possono attivare abilità cicliche e subiscono extra DAN pari al 15% del DAN totale ricevuto nella dimensione alla fine. Rilanciare termina subito l'effetto. Lv 2: Rigenera salute 60% ATT, extra DAN 25%. Lv 3: Rigenera salute 70% ATT, extra DAN 35%. Inizio: 1.700s | Fine: 3.15s | Cosmos DANNO: 268</t>
  </si>
  <si>
    <t>Requiem (Ciclo)</t>
  </si>
  <si>
    <t>Lv 1: Applica [Riposo] all'alleato con PS più bassi (incapace di agire ma rigenera 12% PS max). Termina quando la salute è piena. Applica scudo a 6 livelli (blocca 1 attacco ciascuno). Lv 2: Recupera 1200 cosmo. Lv 3: Rigenera 16% PS max e 1600 cosmo. Lv 4: Scudo a 8 livelli. Inizio: 0.700s | Fine: 1.85s | Ritardo: 5.00s | Ricarica: 11.00s | Cosmos ATT: 1760 | Cosmos DANNO: 300</t>
  </si>
  <si>
    <t>Abisso d’Incubo (Apertura)</t>
  </si>
  <si>
    <t>Lv 1: Inizio battaglia: intrappola le anime di tutti i nemici in un incubo, riducendo velocità d'attacco base e recupero Cosmo a 0. Scompare gradualmente in 5s. Lv 2: Scompare in 6s. Lv 3: Scompare in 7s. Inizio: 0.500s | Fine: 2.40s | Ordine d'azione: 1890</t>
  </si>
  <si>
    <t>Dark Surge (Innesco)</t>
  </si>
  <si>
    <t>Lv 1: Ricevendo un ATT, lancia onda spettrale (80% ATT) e riduce permanentemente la velocità d'ATT del bersaglio dell'8% (max 10 livelli). Lv 2: 90% ATT e -9%. Lv 3: 100% ATT e -10%.</t>
  </si>
  <si>
    <t>Dio del Sonno Surplice [Hypnos - Esclusivo]</t>
  </si>
  <si>
    <t>Attivando Regno Onirico, infligge danni 150% ATT e cura il party del 150% ATT.</t>
  </si>
  <si>
    <t>Registra la salute dei nemici all'attivazione; se superiore al termine, viene ripristinata al valore registrato (max 600% ATT di Hypnos).</t>
  </si>
  <si>
    <t>Registra la salute del party dopo la cura; se inferiore al termine, viene ripristinata (max 600% ATT di Hypnos).</t>
  </si>
  <si>
    <t>Se un personaggio è in Regno Onirico per &gt; 2s, i nemici con PS al massimo e alleati in procinto di morire ottengono temporaneamente [Drowsiness] (immuni ai danni, non agiscono) fino alla fine.</t>
  </si>
  <si>
    <t>Bonus Salute: 18% | Bonus Attacco: 18% | Bonus Difesa: 18% | Accelerazione: 30</t>
  </si>
  <si>
    <t>Ogni volta che Requiem è usato, l'effetto di recupero PS di [Riposo] si applica anche a Hypnos.</t>
  </si>
  <si>
    <t>Ogni volta che Requiem è usato, tutti gli effetti di recupero di [Riposo] si applicano anche a Hypnos.</t>
  </si>
  <si>
    <t>SCHEDA PERSONAGGIO: Thanatos</t>
  </si>
  <si>
    <t>Thanatos</t>
  </si>
  <si>
    <t>Dio della Morte</t>
  </si>
  <si>
    <t>2023-06-21</t>
  </si>
  <si>
    <t>448996 / 652793</t>
  </si>
  <si>
    <t>49905 / 55477</t>
  </si>
  <si>
    <t>8517 / 11384</t>
  </si>
  <si>
    <t>Tartaros Phobia (Arcano)</t>
  </si>
  <si>
    <t>Lv 1: Infligge DAN 170% ATT a tutti i nemici e riduce permanentemente i PS max del 5% (max 800% ATT di Thanatos per riduzione, accumulabile max 6 volte). Lv 2: DAN 200% ATT. Lv 3: DAN 230% ATT e riduzione PS max 10%. Inizio: 2.267s | Fine: 6.30s | Cosmos DANNO: 39</t>
  </si>
  <si>
    <t>Death Pentagram (Ciclo)</t>
  </si>
  <si>
    <t>Lv 1: Attacca il nemico con % salute più bassa (280% ATT) e riduce permanentemente i PS max in base alla salute mancante (1% ogni 2% mancante, max 1000% ATT). Lv 2: DAN 320% ATT. Lv 3: 1% ogni 1.5% mancante. Lv 4: 1% ogni 1% mancante. Inizio: 1.566s | Fine: 1.77s | Ritardo: 4.00s | Ricarica: 10.00s | Cosmos ATT: 1540 | Cosmos DANNO: 600</t>
  </si>
  <si>
    <t>Giudizio Divino (Passivo)</t>
  </si>
  <si>
    <t>Lv 1: Attaccando un bersaglio con % salute attuale superiore alla sua, prob. crit +40% e DAN +20% per 6s. Lv 2: Prob. crit +50% e DAN +25%. Lv 3: Prob. crit +60% e DAN +30%.</t>
  </si>
  <si>
    <t>Eternità del Dio della Morte (Innesco)</t>
  </si>
  <si>
    <t>Lv 1: Morendo la prima volta entra in stato Anima (non prendibile di mira, solo attacchi normali, perde 4% PS max ogni 0.25s ma vel. ATT +100%). Termina se è l'ultimo alleato. Lv 2: In stato Anima, ogni morte nemica recupera 40% PS max. Lv 3: Perde solo 3% PS max ogni 0.25s.</t>
  </si>
  <si>
    <t>Dio della Morte Surplice [Thanatos - Esclusivo]</t>
  </si>
  <si>
    <t>Riduzione limite salute di Tartaros Phobia aumentata al 15%.</t>
  </si>
  <si>
    <t>Usando qualsiasi abilità, aumenta permanentemente del 30% il limite massimo della sua salute.</t>
  </si>
  <si>
    <t>Attaccando avversario con salute superiore alla sua, ottiene ulteriore +75% vel. ATT e danno d'attacco per 6s.</t>
  </si>
  <si>
    <t>Attaccando unità con salute superiore alla sua, ottiene ulteriore +75% sanguisuga e penetrazione per 6s.</t>
  </si>
  <si>
    <t>Bonus Salute: 12% | Bonus Attacco: 18% | Bonus Difesa: 15% | Sanguisuga: 60</t>
  </si>
  <si>
    <t>Nello stato Anima, ogni volta che un nemico muore, recupera il 60% della salute massima.</t>
  </si>
  <si>
    <t>Nello stato Anima, Thanatos può usare qualsiasi abilità e tecnica segreta.</t>
  </si>
  <si>
    <t>Bonus Salute: 12.00% | Precisione: 108.0 | Velocità Attacco: 5.40%</t>
  </si>
  <si>
    <t>Bonus Attacco: 7.50% | Critico: 96.0 | Bonus Salute: 6.60%</t>
  </si>
  <si>
    <t>Bonus Difesa: 26.40% | Velocità Attacco: 7.50% | Precisione: 60.0</t>
  </si>
  <si>
    <t>SCHEDA PERSONAGGIO: Rhadamanthe</t>
  </si>
  <si>
    <t>Rhadamanthe</t>
  </si>
  <si>
    <t>Stella Celeste della Ferocia</t>
  </si>
  <si>
    <t>SCHEDA PERSONAGGIO: Aphrodite (Pesci in Armatura Divina)</t>
  </si>
  <si>
    <t>2023-03-15</t>
  </si>
  <si>
    <t>458948 / 652793</t>
  </si>
  <si>
    <t>48903 / 55477</t>
  </si>
  <si>
    <t>8839 / 11384</t>
  </si>
  <si>
    <t>Aphrodite (Pesci in Armatura Divina)</t>
  </si>
  <si>
    <t>Greatest Caution (Arcano)</t>
  </si>
  <si>
    <t>Pesci in Armatura Divina</t>
  </si>
  <si>
    <t>Lv 1: Colpisce 3 nemici di fronte ogni 0.3s pari al 70% ATT per 1.5s. Se DAN critico bonus da Winged Dragon supera 80%, rilascia onda distruttiva circolare (300% ATT a tutti). Lv 2: Onda distruttiva 350% ATT. Lv 3: Onda distruttiva respinge per 2s. Inizio: 2.600s | Fine: 4.67s | Cosmos DANNO: 268</t>
  </si>
  <si>
    <t>Wing Slash (Ciclo)</t>
  </si>
  <si>
    <t>Lv 1: Attraversa nemico casuale attaccando rapidamente per 3 volte (condivide effetti attacchi normali). Lv 2: 4 volte. Lv 3: 5 volte. Lv 4: 6 volte. Inizio: 0.700s | Fine: 2.20s | Ritardo: 3.20s | Ricarica: 10.50s</t>
  </si>
  <si>
    <t>Spirito Furente (Innesco)</t>
  </si>
  <si>
    <t>Lv 1: Subendo DAN singolo &gt; 15% PS max, ignora il DAN e vel. ATT +40% per 5s (intervallo 8s). Lv 2: Vel. ATT +60% per 6s. Lv 3: Intervallo diventa 6s.</t>
  </si>
  <si>
    <t>Winged Dragon (Passivo)</t>
  </si>
  <si>
    <t>Lv 1: Ogni attacco normale aumenta permanentemente il DAN critico del 2% (4% se critico). Max 80%. Lv 2: Max 120%. Lv 3: +3% normale, +6% critico.</t>
  </si>
  <si>
    <t>2024-11-06</t>
  </si>
  <si>
    <t>Stella della Ferocia Celeste Surplice [Rhadamanthe - Esclusivo]</t>
  </si>
  <si>
    <t>424802 / 652793</t>
  </si>
  <si>
    <t>Usando qualsiasi abilità, vel. ATT +50% per 5s (cumulabile 3 volte).</t>
  </si>
  <si>
    <t>7462 / 11384</t>
  </si>
  <si>
    <t>Usando Greatest Caution ripristina subito ricarica di Wing Slash.</t>
  </si>
  <si>
    <t>986 / 1160</t>
  </si>
  <si>
    <t>Con DAN critico bonus Winged Dragon &gt;= 40%, Greatest Caution ignora 80% DIF.</t>
  </si>
  <si>
    <t>168 / 197</t>
  </si>
  <si>
    <t>Dopo ogni attacco normale, prob. crit +2% e bonus DAN +1% permanentemente.</t>
  </si>
  <si>
    <t>Bloody Rose - God (Arcano)</t>
  </si>
  <si>
    <t>Lv 1: Lancia rosa bianca verso nemico con PS max alti, infligge DAN 10% PS max (max 600% ATT) per 5s, convertiti in cura per Aphrodite. Lv 2: Cura anche alleato con PS bassi. Lv 3: Se termina/muore, recupera 3000 cosmo. Inizio: 1.400s | Fine: 2.20s | Cosmos DANNO: 346</t>
  </si>
  <si>
    <t>Piranhan Rose - God (Ciclo)</t>
  </si>
  <si>
    <t>Lv 1: Lancia 3 rose (110% ATT DAN), applica veleno (25% ATT ogni 0.5s per 3s). Lv 2: Effetto interruzione. Lv 3: 4 rose. Lv 4: 5 rose. Inizio: 2.133s | Fine: 3.30s | Ritardo: 5.10s | Ricarica: 10.00s | Cosmos ATT: 1430 | Cosmos DANNO: 268</t>
  </si>
  <si>
    <t>Ogni volta che lancia Spirito furente, la vel. ATT aumenta del 100%.</t>
  </si>
  <si>
    <t>Royal Demon Rose - God (Innesco)</t>
  </si>
  <si>
    <t>Quando riceve DAN singolo &gt; 10% PS max, lancia Spirito Furente (intervallo 3s).</t>
  </si>
  <si>
    <t>Lv 1: Attacco base applica [rosa avvelenata] per 5s (riduce ATT/DIF/Crit/Tenacia/Accelerazione). Accumula fino a 5 livelli. Lv 2: Aumenta riduzioni. Lv 3: A liv 5 esplode, infligge 250% ATT a tutti e applica 1 livello.</t>
  </si>
  <si>
    <t>Immerso nel Veleno (Passivo)</t>
  </si>
  <si>
    <t>Lv 1: Immune a veleno/sanguinamento; ogni 3 attacchi base entra in [velo di petali] per 3s (immune ad abilità singole/attacchi base). Lv 2: DAN subiti ridotti 30%, recupera 12% PS max/sec. Lv 3: Recupera 12% cosmo max extra/sec.</t>
  </si>
  <si>
    <t>Bonus Attacco: 7.50% | Tenacia: 114.0 | Accelerazione: 10.5</t>
  </si>
  <si>
    <t>Pesci God Cloth (Aphrodite - Esclusivo)</t>
  </si>
  <si>
    <t>DAN da veleno Piranhan Rose cura alleato con PS più bassi.</t>
  </si>
  <si>
    <t>Durante veleno Piranhan Rose, bersaglio non recupera PS.</t>
  </si>
  <si>
    <t>Recupero cosmo Bloody Rose sale a 5000 punti.</t>
  </si>
  <si>
    <t>DAN Bloody Rose ignora DIF/scudi, blocca recupero PS e passive del bersaglio.</t>
  </si>
  <si>
    <t>DAN esplosione veleno Royal Demon Rose diventa DAN reale.</t>
  </si>
  <si>
    <t>Attacco base lancia attacco extra in posizione opposta (non influenzato da riduzioni Vel. ATT/accelerazione).</t>
  </si>
  <si>
    <t>Bonus Salute: 19.50% | Precisione: 108.0</t>
  </si>
  <si>
    <t>Bonus Attacco: 7.50% | Critico: 96.0 | Effetto Cura Ricevuta: 4.20%</t>
  </si>
  <si>
    <t>SCHEDA PERSONAGGIO: Hadès</t>
  </si>
  <si>
    <t>Hadès</t>
  </si>
  <si>
    <t>2025-04-16</t>
  </si>
  <si>
    <t>652793 / 652793</t>
  </si>
  <si>
    <t>33818 / 55477</t>
  </si>
  <si>
    <t>11276 / 11384</t>
  </si>
  <si>
    <t>Spada del Dio degli Inferi (Arcano)</t>
  </si>
  <si>
    <t>Lv 1: Inizio battaglia aumenta limite PS 25%. Attivo: sottrae 8% PS max nemici permanentemente aumentando i propri. Applica [erosione dell’anima] per 2s e infligge 100% limite PS max di Hades (equamente distribuiti). Saint con erosione non resuscitano. Lv 2: Sottrae 10% PS max. Lv 3: Durata erosione 3s. Inizio: 1.200s | Fine: 2.83s | Cosmos DANNO: 346</t>
  </si>
  <si>
    <t>Lama della Disperazione (Ciclo)</t>
  </si>
  <si>
    <t>Lv 1: Attacca nemico opposto (20% limite PS max Hades), applica [ferita grave] per 5s (no recupero salute). Lv 2: Aumenta limite PS max permanentemente. Lv 3: 25% limite PS max. Lv 4: Se PS max bersaglio &lt; Hades, ignora DIF e rid. DAN. Inizio: 1.300s | Fine: 2.00s | Ritardo: 4.00s | Ricarica: 11.00s | Cosmos ATT: 1500 | Cosmos DANNO: 600</t>
  </si>
  <si>
    <t>Barriera del Dio degli Inferi (Apertura)</t>
  </si>
  <si>
    <t>Lv 1: Inizio battaglia applica barriera agli alleati per 6s (ATT e Prob. Crit +15%). Se Hades muore scompare. Lv 2: DAN inflitto alleati +15%. Lv 3: Durata 8s. Inizio: 0.001s | Fine: 1.80s | Ordine d'azione: 1</t>
  </si>
  <si>
    <t>Greatest Eclipse (Innesco)</t>
  </si>
  <si>
    <t>Lv 1: Ogni 8s crea gabbia di oscurità per 4s. Hades immune a DAN/controllo, alleati DAN subiti -20%, nemici no tecniche segrete. Lv 2: Interrompe nemici per 0.50s. Lv 3: A fine eclipse infligge 10% limite PS max Hades a tutti i nemici.</t>
  </si>
  <si>
    <t>Dio degli Inferi - God Cloth (Hades - Esclusivo)</t>
  </si>
  <si>
    <t>Cura ricevuta da bersagli in erosione trasferita ad Hades.</t>
  </si>
  <si>
    <t>Primo lancio Greatest Eclipse anticipato al secondo 4.</t>
  </si>
  <si>
    <t>Spada del Dio degli Inferi ottiene sanguisuga 50%.</t>
  </si>
  <si>
    <t>SCHEDA PERSONAGGIO: Suikyo Garuda</t>
  </si>
  <si>
    <t>Spada ignora DIF. Personaggio in erosione morto trasferisce cosmo e PS max ad Hades.</t>
  </si>
  <si>
    <t>Bonus Salute: 30% | Bonus Difesa: 30% | Tenacia: 120 | Accelerazione: 30</t>
  </si>
  <si>
    <t>Con barriera, alleati hanno Vel. ATT e recupero cosmo +15%.</t>
  </si>
  <si>
    <t>Fazione Dio degli Inferi in barriera ha buff raddoppiati e non muore a 0 PS (tranne Hades).</t>
  </si>
  <si>
    <t>SCHEDA PERSONAGGIO: Alone</t>
  </si>
  <si>
    <t>Suikyo Garuda</t>
  </si>
  <si>
    <t>Bonus Salute: 12.00% | Effetto Cura Ricevuta: 6.00% | Bonus Difesa: 16.50%</t>
  </si>
  <si>
    <t>Bonus Attacco: 7.50% | Fermezza: 132.0 | Bonus Salute: 7.20%</t>
  </si>
  <si>
    <t>Bonus Difesa: 26.40% | Velocità Attacco: 7.50% | Sanguisuga: 30.0</t>
  </si>
  <si>
    <t>Alone</t>
  </si>
  <si>
    <t>2025-07-10</t>
  </si>
  <si>
    <t>416288 / 652793</t>
  </si>
  <si>
    <t>SCHEDA PERSONAGGIO: Milo (Scorpione in Armatura Divina)</t>
  </si>
  <si>
    <t>53936 / 55477</t>
  </si>
  <si>
    <t>Hiso Hyakuga Senran (Arcano)</t>
  </si>
  <si>
    <t>Lv 1: Tornado di ghiaccio infligge 500% ATT e congelamento 3s al nemico con ATT più alto. Lv 2: Trasforma vapore in lance (75% ATT ciascuna). Lv 3: Riduce cosmo bersaglio di 2000. Inizio: 1.600s | Fine: 2.57s</t>
  </si>
  <si>
    <t>Hiso Byakurenge (Ciclo)</t>
  </si>
  <si>
    <t>Lv 1: Attacca nemico opposto (180% ATT + congelamento 3s) e lascia [zanna di ghiaccio] per 5s (esplode infliggendo 100% ATT reale a tutti). Lv 2: Esplosione anticipata se riceve controllo. Lv 3: Dispersione buff nemici. Lv 4: Ottiene livello vapore (+5% DAN zanna fino a 100%). Inizio: 1.400s | Fine: 2.07s | Ritardo: 4.10s | Ricarica: 12.00s | Cosmos ATT: 1610 | Cosmos DANNO: 600</t>
  </si>
  <si>
    <t>Spirale di vapore (Innesco)</t>
  </si>
  <si>
    <t>Lv 1: Attacco base o ciclica accumula 1 vapore (max 5), +10% recupero cosmo per livello. Lv 2: -10% DAN abilità subiti per livello. Lv 3: Abilità cicliche accumulano 2 livelli.</t>
  </si>
  <si>
    <t>Milo (Scorpione in Armatura Divina)</t>
  </si>
  <si>
    <t>Sentiero irto di spine (Passivo)</t>
  </si>
  <si>
    <t>Lv 1: No cure esterne. Critico garantito. Più alti i PS minori i DAN subiti (max 30%), più bassi i PS maggiori i DAN inflitti (max 30%). Lv 2: Riduzione/Aumento max 40%. Lv 3: Riduzione/Aumento max 50%.</t>
  </si>
  <si>
    <t>Kraken</t>
  </si>
  <si>
    <t>2026-01-22</t>
  </si>
  <si>
    <t>Scorpione in Armatura Divina</t>
  </si>
  <si>
    <t>49877 / 55477</t>
  </si>
  <si>
    <t>Surplice di Stella del Cielo Intrepido (Suikyo - Esclusivo)</t>
  </si>
  <si>
    <t>8435 / 11384</t>
  </si>
  <si>
    <t>Durata zanna di ghiaccio sale a 6s.</t>
  </si>
  <si>
    <t>Ricarica Hiso Byakurenge ridotta del 25% dopo esplosione.</t>
  </si>
  <si>
    <t>2025-10-23</t>
  </si>
  <si>
    <t>DAN lance di ghiaccio sale a 100% ATT.</t>
  </si>
  <si>
    <t>Lance ignorano 50% DIF e annullano passive/attivazioni bersaglio per 1s.</t>
  </si>
  <si>
    <t>420583 / 652793</t>
  </si>
  <si>
    <t>Bonus Salute: 15% | Bonus Attacco: 18% | Bonus Difesa: 15% | Accelerazione: 30</t>
  </si>
  <si>
    <t>Mietitura Spietata (Arcano)</t>
  </si>
  <si>
    <t>Lv 1: Inizio battaglia ATT +25%. Attivo: fluttua e colpisce casualmente nemici con energia (5-10 attacchi, 120% ATT ciascuno, sottrae 5% PS max). Immune a targeting. Lv 2: 8-15 attacchi. Lv 3: Almeno 2 attacchi per nemico. Inizio: 1.466s | Fine: 4.13s | Cosmos DANNO: 268</t>
  </si>
  <si>
    <t>Assalto austero (Ciclo)</t>
  </si>
  <si>
    <t>Lv 1: Attacca tutti (assorbe 6% PS max) e dà scudo agli alleati (4s). Lv 2: Assorbe 8% PS max. Lv 3: Scudo dura 5s. Lv 4: Scudo fa recuperare 1000 cosmo. Inizio: 1.400s | Fine: 2.13s | Ritardo: 6.50s | Ricarica: 11.50s | Cosmos ATT: 1750 | Cosmos DANNO: 600</t>
  </si>
  <si>
    <t>Barriera della Misericordia (Apertura)</t>
  </si>
  <si>
    <t>Lv 1: Crea barriera per 4s. Alleati immuni a DAN ma DAN inflitto -90%. Lv 2: DAN inflitto -80%. Lv 3: DAN inflitto -70%. Inizio: 1.000s | Fine: 2.10s | Cosmos ATT: 600 | Ordine d'azione: 20</t>
  </si>
  <si>
    <t>Ogni 1% PS persi ottiene 1% ATT e Vel. ATT.</t>
  </si>
  <si>
    <t>Risveglio del Dio degli Inferi (Passivo)</t>
  </si>
  <si>
    <t>Lv 1: Ogni attacco/abilità dà 1 livello (max 15), +10% ATT e +5 accelerazione per livello. A liv 5 immune DAN/controllo per 5s. Lv 2: A liv 10 purificazione e 100% PS max. Lv 3: A liv 15 recupera 1200 cosmo/sec.</t>
  </si>
  <si>
    <t>Riduzione DAN e bonus DAN salgono al 70%, +0.5% sanguisuga per 1% PS persi.</t>
  </si>
  <si>
    <t>Bonus Salute: 12.00% | Precisione: 108.0 | Bonus Attacco: 3.90%</t>
  </si>
  <si>
    <t>God - Scarlet Needle (Arcano)</t>
  </si>
  <si>
    <t>Bonus Attacco: 7.50% | Critico: 96.0 | Danno Crit: 66.0</t>
  </si>
  <si>
    <t>Lv 1: Attacco base applica [Scarlet Needle] (15 aghi = morte o 1000% ATT boss). Attivo: immune a controllo, attacca fino a 9 volte lo stesso bersaglio, ATT e Vel. ATT +35% per 4s. Ultimo colpo respinge. Lv 2: Dura 4.5s. Lv 3: Dura 5s. Inizio: 1.500s | Fine: 2.13s</t>
  </si>
  <si>
    <t>Turbine Scarlatto (Ciclo)</t>
  </si>
  <si>
    <t>Bonus Difesa: 26.40% | Velocità Attacco: 7.50% | Bonus Salute: 7.20%</t>
  </si>
  <si>
    <t>Lv 1: Scatena turbine, lancia in aria nemici per 1.5s, infligge 110% ATT. Lv 2: 120% ATT. Lv 3: DIF nemici -40%. Lv 4: DIF nemici -60%. Inizio: 1.033s | Fine: 1.30s | Ritardo: 4.60s | Ricarica: 10.50s | Cosmos ATT: 1510 | Cosmos DANNO: 268</t>
  </si>
  <si>
    <t>Impulso Cremisi (Passivo)</t>
  </si>
  <si>
    <t>Ciondolo di Alone (Alone - Esclusivo)</t>
  </si>
  <si>
    <t>Lv 1: Attacco base dà [velocità divina] per 1s, +15% Rid. DAN abilità e 30% immunità debuff. Lv 2: 20% Rid. DAN, 40% immunità. Lv 3: 25% Rid. DAN, 50% immunità.</t>
  </si>
  <si>
    <t>Protezione dello Scorpione (Passivo)</t>
  </si>
  <si>
    <t>Lv 1: Critico accende 1 stella (max 15). A 5 attiva Sargas (purificazione, ATT/Vel. ATT +30%). Lv 2: A 10 attiva Delta Scorpii (attacca e applica ago a extra casuale). Lv 3: A 15 attiva Alpha Scorpii (Vel. ATT +30%, attacchi base ininterribili).</t>
  </si>
  <si>
    <t>Assalto austero assorbe 10% PS max.</t>
  </si>
  <si>
    <t>A liv 15 risveglio, recupero cosmo sale a 1500/sec.</t>
  </si>
  <si>
    <t>Ogni livello risveglio riduce DAN abilità subiti del 2%.</t>
  </si>
  <si>
    <t>Scorpione God Cloth [Milo - Esclusivo]</t>
  </si>
  <si>
    <t>Mietitura Spietata diventa DAN reale e atterra per 2s.</t>
  </si>
  <si>
    <t>Durante tecnica segreta ATT e Vel. ATT +50%.</t>
  </si>
  <si>
    <t>Turbine Scarlatto aggiunge 1 ago a tutti i nemici.</t>
  </si>
  <si>
    <t>Nemici in barriera hanno recupero cosmo -15%.</t>
  </si>
  <si>
    <t>Tecnica segreta attacca fino a 12 volte.</t>
  </si>
  <si>
    <t>Anche senza critico ottiene stella; ogni 4 attacchi base respinge tutti per 0.5s.</t>
  </si>
  <si>
    <t>Durata Barriera della Misericordia aumenta di 2s.</t>
  </si>
  <si>
    <t>Bonus Attacco: 7.50% | Tenacia: 114.0 | Velocità Attacco: 5.40%</t>
  </si>
  <si>
    <t>Bonus Difesa: 26.40% | Sanguisuga: 48.0 | Bonus Salute: 7.20%</t>
  </si>
  <si>
    <t>Attivazione protezione scorpione recupera subito 30% PS max.</t>
  </si>
  <si>
    <t>Velocità divina dura 1.5s, 35% Rid. DAN abilità, 70% immunità debuff.</t>
  </si>
  <si>
    <t>Bonus Attacco: 7.50% | Critico: 96.0 | Velocità Attacco: 5.40%</t>
  </si>
  <si>
    <t>SCHEDA PERSONAGGIO: Pandora (ND)</t>
  </si>
  <si>
    <t>Pandora (ND)</t>
  </si>
  <si>
    <t>Comandante dell'Oltretomba</t>
  </si>
  <si>
    <t>SCHEDA PERSONAGGIO: Chagall</t>
  </si>
  <si>
    <t>2026-02-19</t>
  </si>
  <si>
    <t>Chagall</t>
  </si>
  <si>
    <t>455902 / 652793</t>
  </si>
  <si>
    <t>47950 / 55477</t>
  </si>
  <si>
    <t>8892 / 11384</t>
  </si>
  <si>
    <t>SCHEDA PERSONAGGIO: Kagaho</t>
  </si>
  <si>
    <t>Melodia degli Inferi (Arcano)</t>
  </si>
  <si>
    <t>Lv 1: Suona arpa (30% DAN alleati distribuito tra alleati, 20% DAN nemici trasferito a tutti i nemici) per 6s. Lv 2: Purifica alleati e disperde buff nemici. Lv 3: +30 accelerazione alleati, -30 accelerazione nemici. Inizio: 2.100s | Fine: 2.97s | Cosmos DANNO: 346</t>
  </si>
  <si>
    <t>Decisione del Comandante (Ciclo)</t>
  </si>
  <si>
    <t>SCHEDA PERSONAGGIO: Asclépios</t>
  </si>
  <si>
    <t>2026-04-09</t>
  </si>
  <si>
    <t>Kagaho</t>
  </si>
  <si>
    <t>Lv 1: Dà a un alleato anteriore scudo 360% ATT per 5s (immune a DAN, debuff e controllo). Lv 2: Scudo 400% ATT. Lv 3: A fine scudo recupera 1000 cosmo. Lv 4: Se distrutto anticipatamente, recupera 1500 cosmo. Inizio: 0.600s | Fine: 1.63s | Ritardo: 4.10s | Ricarica: 10.50s | Cosmos ATT: 1078 | Cosmos DANNO: 242</t>
  </si>
  <si>
    <t>399336 / 652793</t>
  </si>
  <si>
    <t>Incantesimo di Tortura (Ciclo)</t>
  </si>
  <si>
    <t>Lv 1: Cerchio magico su nemico opposto (infligge 40% ATT ogni sec, poi 20% ATT) per 5s. Lv 2: Bersaglio ha ATT e DIF -30%. Lv 3: Durata 6s, 50% DAN cura Pandora. Inizio: 0.800s | Fine: 1.63s | Ritardo: 5.20s | Ricarica: 10.00s | Cosmos ATT: 1113</t>
  </si>
  <si>
    <t>55477 / 55477</t>
  </si>
  <si>
    <t>Stella Celeste della Violenza</t>
  </si>
  <si>
    <t>Anello del Caos (Ciclo)</t>
  </si>
  <si>
    <t>7299 / 11384</t>
  </si>
  <si>
    <t>Lv 1: Primi 4s confonde nemico casuale per 4s (poi ogni 8s). Lv 2: Bersaglio confuso subisce DAN +20%. Lv 3: Dan subiti +30%. Inizio: 0.834s | Fine: 1.10s | Ritardo: 4.00s | Ricarica: 8.00s | Cosmos ATT: 1003</t>
  </si>
  <si>
    <t>Arpa di Pandora [Pandora (ND) - Esclusivo]</t>
  </si>
  <si>
    <t>2026-04-23</t>
  </si>
  <si>
    <t>Asclépios</t>
  </si>
  <si>
    <t>404972 / 652793</t>
  </si>
  <si>
    <t>55127 / 55477</t>
  </si>
  <si>
    <t>Lv 1: Onda distruttiva respinge bersaglio, 10 istanze da 60% ATT + 2% PS max bersaglio (max 100% ATT). Lv 2: Disperde buff a ogni colpo, atterra 2s. Lv 3: Stato dominazione, 25% sanguisuga. Inizio: 2.396s | Fine: 3.27s | Cosmos DANNO: 600</t>
  </si>
  <si>
    <t>Melodia rimovibile solo da purificazione/dispersione potente.</t>
  </si>
  <si>
    <t>Lancio della Viverna (Ciclo)</t>
  </si>
  <si>
    <t>Ophiuchus</t>
  </si>
  <si>
    <t>Lv 1: Afferra nemico e lo lancia in aria (260% ATT) per 2.5s. Lv 2: 320% ATT. Lv 3: Immune a DAN e debuff durante esecuzione. Lv 4: Uccidendo il bersaglio azzera ricarica. Inizio: 0.792s | Fine: 2.13s | Ritardo: 4.10s | Ricarica: 10.20s | Cosmos ATT: 1430 | Cosmos DANNO: 600</t>
  </si>
  <si>
    <t>Ordine degli Inferi (Apertura)</t>
  </si>
  <si>
    <t>Distribuzione e trasferimento DAN salgono a 40% e 25%.</t>
  </si>
  <si>
    <t>Lv 1: Inizio battaglia assegna bersaglio (Prob. CRIT/DAN CRIT +25%, accelerazione +50, immunità debuff per 6s). Uscisione azzera ricarica. Alla fine ATT +50% ma -10% PS max finché non uccide. Lv 2: Uccisione entro 2s valida. Lv 3: Uccisione entro 3s valida. Inizio: 0.001s | Fine: 0.01s | Ordine d'azione: 10</t>
  </si>
  <si>
    <t>Ruggito Oscuro (Innesco)</t>
  </si>
  <si>
    <t>Lanciando Melodia dà a tutti scudo Decisione del Comandante (60% valore).</t>
  </si>
  <si>
    <t>Lv 1: Attacco/abilità applica [sete di sangue] a nemico casuale per 4s (+30% sanguisuga ma niente cicliche). Lv 2: Applica a 2 nemici. Lv 3: Rimovibile solo da purificazione potente.</t>
  </si>
  <si>
    <t>Corona Blast (Arcano)</t>
  </si>
  <si>
    <t>ALL</t>
  </si>
  <si>
    <t>Lv 1: Sfera di fuoco infligge 210% ATT a tutti, 1 fiamma nera e bruciatura 3s (40% ATT/sec). Lv 2: Bruciatura 50% ATT. Lv 3: Dopo 3° lancio diventa Corona Blast Triplet (effetto triplicato). Inizio: 2.276s | Fine: 2.83s | Cosmos DANNO: 268</t>
  </si>
  <si>
    <t>Sole Oscuro (Ciclo)</t>
  </si>
  <si>
    <t>Stella della Ferocia Celeste Surplice [Chagall - Esclusivo]</t>
  </si>
  <si>
    <t>Lv 1: Crea [Inferno di Fiamme] per 10s (infligge 120% ATT e brucia 75% ATT ogni 2s). Lv 2: Ogni DAN applica fiamma nera (+25% DAN veleno/bruciatura/sanguinamento, max 3 liv). Lv 3: 140% ATT. Lv 4: Interrompe azione di tutti. Inizio: 3.168s | Fine: 4.60s | Ritardo: 4.30s | Ricarica: 12.00s | Cosmos ATT: 1800 | Cosmos DANNO: 89</t>
  </si>
  <si>
    <t>Crucify Ankh (Apertura)</t>
  </si>
  <si>
    <t>Lv 1: Croce di fuoco su fila posteriore, 1 fiamma nera e bruciatura (50% ATT/sec). Primo lancio abilità attiva nemica applica 1 fiamma nera e silenzio 5s (dura 8s). Lv 2: Durata 10s. Lv 3: Durata 12s. Inizio: 1.100s | Fine: 1.97s | Ordine d'azione: 10</t>
  </si>
  <si>
    <t>Lanciando Melodia infligge Incantesimo di Tortura a tutti (60% valore).</t>
  </si>
  <si>
    <t>2026-06-04</t>
  </si>
  <si>
    <t>Mostro di Fiamme (Innesco)</t>
  </si>
  <si>
    <t>Greatest Caution infligge DAN extra pari a 6% PS persi dal bersaglio.</t>
  </si>
  <si>
    <t>Lv 1: Con oltre 15 fiamme nere diventa Mostro di Fiamme (immune interruzioni, attacchi base colpiscono tutti e bruciano). Lv 2: Per ogni fiamma nera ATT +12% e accelerazione +12 (max 120% / 120). Lv 3: DAN letale con almeno 5 fiamme nere consuma fiamme per annullare danno e recuperare 5% PS max per livello.</t>
  </si>
  <si>
    <t>Bonus Salute: 18% | Bonus Attacco: 15% | Bonus Difesa: 18% | Accelerazione: 30</t>
  </si>
  <si>
    <t>408860 / 652793</t>
  </si>
  <si>
    <t>Ogni colpo ha sanguisuga 30%.</t>
  </si>
  <si>
    <t>Uccisione dà immunità DAN per 3s.</t>
  </si>
  <si>
    <t>51896 / 55477</t>
  </si>
  <si>
    <t>Uccisione dà ATT +40%, Vel. ATT e Penetrazione +20% (cumulabile 4 volte).</t>
  </si>
  <si>
    <t>7310 / 11384</t>
  </si>
  <si>
    <t>Bonus Salute: 12% | Bonus Attacco: 24% | Critico: 90 | Sanguisuga: 60</t>
  </si>
  <si>
    <t>Stella del Cielo Violento Surplice [Kagaho - Esclusivo]</t>
  </si>
  <si>
    <t>Bonus Prob. CRIT e DAN CRIT salgono a 30%, accelerazione +60, durata 8s.</t>
  </si>
  <si>
    <t>Sete di sangue impedisce buff e riduce recupero cosmo del 30%.</t>
  </si>
  <si>
    <t>Lanciando Incantesimo di Tortura disperde effetti terreno/ambiente, DAN iniziale +20% ATT.</t>
  </si>
  <si>
    <t>100% DAN Incantesimo di Tortura cura Pandora (eccesso distribuito agli alleati).</t>
  </si>
  <si>
    <t>Ogni fiamma nera riduce cura ricevuta del 10%.</t>
  </si>
  <si>
    <t>Bonus Difesa: 26.40% | Velocità Attacco: 7.50% | Accelerazione: 12.0</t>
  </si>
  <si>
    <t>Malvagità Divina (Arcano)</t>
  </si>
  <si>
    <t>Riduzione cura sale al 20% per fiamma.</t>
  </si>
  <si>
    <t>Bonus Salute: 12.00% | Fermezza: 132.0 | Precisione: 69.0</t>
  </si>
  <si>
    <t>Lv 1: Evoca 1 serpente ogni 5s (attacca ogni 3s per 100% ATT reale, dura 10s). Attivo: lancia in aria tutti per 1.5s (260% ATT). Lv 2: +25% DAN contre bersagli già colpiti da serpenti. Lv 3: Evoca serpente immediato se manca. Inizio: 2.000s | Fine: 2.80s | Cosmos DANNO: 268</t>
  </si>
  <si>
    <t>Crucify Ankh applica 2 fiamme nere e +30% DAN bruciatura.</t>
  </si>
  <si>
    <t>Sangue di Serpente (Innesco)</t>
  </si>
  <si>
    <t>Lv 1: Annulla tecniche segrete nemiche per 3s e cura alleati (300% ATT). Intervallo 6s. Lv 2: Annullamento 4s. Lv 3: Intervallo 4s. Lv 4: Attacca nemico casuale (300% ATT) e recupera 600 cosmo.</t>
  </si>
  <si>
    <t>Crucify Ankh si attiva 2 volte su bersagli diversi.</t>
  </si>
  <si>
    <t>Erosione (Passivo)</t>
  </si>
  <si>
    <t>Bonus Salute: 18% | Bonus Attacco: 18% | Bonus Difesa: 15% | Sanguisuga: 60</t>
  </si>
  <si>
    <t>Bonus Difesa: 26.40% | Schivata: 96.0 | Bonus Attacco: 3.60%</t>
  </si>
  <si>
    <t>Lv 1: Serpente sottrae 5% bonus DAN e rid. DAN al bersaglio per 8s (max 3 volte per nemico). Lv 2: Sottrae 6%. Lv 3: Durata 10s.</t>
  </si>
  <si>
    <t>Nemici bruciati infliggono DAN ridotti del 30%.</t>
  </si>
  <si>
    <t>In forma Mostro di Fiamme, attacchi base applicano 1 fiamma nera.</t>
  </si>
  <si>
    <t>Controllo dei Serpenti (Innesco)</t>
  </si>
  <si>
    <t>Lv 1: Immune a rid. DAN/aumento DAN subiti. Consuma 1 serpente per annullare attacco letale e recuperare 40% PS max (intervallo 5s). Lv 2: Esilia fonte del danno per 3s. Lv 3: Dopo immunità recupera 60% PS max.</t>
  </si>
  <si>
    <t>Ophiucus Gold Cloth [Asclepios - Esclusivo]</t>
  </si>
  <si>
    <t>Lanciando Sangue di Serpente evoca 1 serpente extra.</t>
  </si>
  <si>
    <t>Erosione sottrae 8%.</t>
  </si>
  <si>
    <t>Sangue di Serpente si attiva anche su cicliche nemiche (50% effetto).</t>
  </si>
  <si>
    <t>Controllo serpenti dura 4s, immunità letale senza intervallo.</t>
  </si>
  <si>
    <t>Bonus Salute: 15% | Bonus Attacco: 15% | Bonus Difesa: 15% | Sanguisuga: 60</t>
  </si>
  <si>
    <t>Inizio battaglia evoca 1 serpente.</t>
  </si>
  <si>
    <t>Inizio battaglia evoca 3 serpenti.</t>
  </si>
  <si>
    <t>Bonus Salute: 12.00% | Precisione: 108.0 | Bonus Difesa: 15.60%</t>
  </si>
  <si>
    <t>Bonus Attacco: 7.50% | Critico: 96.0 | Bonus Salute: 6.30%</t>
  </si>
  <si>
    <t>Bonus Difesa: 26.40% | Velocità Attacco: 7.50% | Bonus Attacco: 3.60%</t>
  </si>
  <si>
    <t>SCHEDA PERSONAGGIO: Minos du Griffon (LC)</t>
  </si>
  <si>
    <t>SCHEDA PERSONAGGIO: Thanatos (LC)</t>
  </si>
  <si>
    <t>Minos du Griffon (LC)</t>
  </si>
  <si>
    <t>Thanatos (LC)</t>
  </si>
  <si>
    <t>2026-08-12</t>
  </si>
  <si>
    <t>641120 / 652793</t>
  </si>
  <si>
    <t>34549 / 55477</t>
  </si>
  <si>
    <t>11110 / 11384</t>
  </si>
  <si>
    <t>2026-09-10</t>
  </si>
  <si>
    <t>Big Tornado (Arcano)</t>
  </si>
  <si>
    <t>Lv 1: Caricamento 1.5s (recupera 35% PS max, -65% DAN subiti). Attivo: vortice attira tutti e immobilizza 2s (230% ATT). Lv 2: Vortice diventa tornado (10% PS max reali in 5s). Lv 3: Tornado 15% PS max reali. Inizio: 2.166s | Fine: 3.47s | Cosmos DANNO: 268</t>
  </si>
  <si>
    <t>Scudo di Ali (Ciclo)</t>
  </si>
  <si>
    <t>Lv 1: Ottiene scudo 80% PS max per 5s (assorbe 40% DAN alleati). Se distrutto respinge tutti per 1.5s. Lv 2: Scudo 100% PS max. Lv 3: Assorbe 50% DAN alleati. Lv 4: Respinge 2s. Inizio: 0.700s | Fine: 2.80s | Ritardo: 1.50s | Ricarica: 12.00s | Cosmos ATT: 1350</t>
  </si>
  <si>
    <t>Cosmic Marionation (Passivo)</t>
  </si>
  <si>
    <t>Lv 1: Controlla nemico casuale per 4s (ogni 8s ripete). Lv 2: Caricamento riuscito azzera intervallo. Lv 3: Nemico controllato infligge DAN -25% (cumulabile 2 volte).</t>
  </si>
  <si>
    <t>Balzo del Grifone (Innesco)</t>
  </si>
  <si>
    <t>Lv 1: Ogni controllo nemico infligge DAN reali 12% PS max Minos (intervallo 6s). Se controllo rimosso in anticipo, intervallo -50%. Lv 2: DAN reali extra 12% PS max bersaglio. Lv 3: Recupera 600 cosmo.</t>
  </si>
  <si>
    <t>SCHEDA PERSONAGGIO: Pandora (LC)</t>
  </si>
  <si>
    <t>Terrible Providence (Arcano)</t>
  </si>
  <si>
    <t>Lv 1: Sfera luminosa su nemico con PS max alti (perde 40% PS attuali e limite PS max, max 800% ATT), poi infligge 240% ATT. Lv 2: Perde 50% PS, DAN 280% ATT. Lv 3: Onda d'urto respinge nemici. Inizio: 3.300s | Fine: 4.80s | Cosmos DANNO: 600</t>
  </si>
  <si>
    <t>Stella del Cielo Nobile Surplice [Minos di Griffon (LC) - Esclusivo]</t>
  </si>
  <si>
    <t>Tartaros Phobia (Ciclo)</t>
  </si>
  <si>
    <t>Lv 1: Fantasmi su nemico con PS bassi (260% ATT, poi 8% PS persi ogni 2s per 4s). Lv 2: Assorbe 30% DAN subito da Thanatos. Lv 3: Brucia 500 cosmo ogni DAN. Lv 4: Durata 6s. Inizio: 1.100s | Fine: 1.97s | Ritardo: 4.10s | Ricarica: 11.00s | Cosmos ATT: 1510</t>
  </si>
  <si>
    <t>Scontento Divino (Passivo)</t>
  </si>
  <si>
    <t>Lv 1: Attacco base dà livello scontento (+20% Vel. ATT, +12% bonus DAN per 3s, max 10 liv). Abilità attiva purifica e consuma scontento. Lv 2: Consumo scontento dà +5% Prob. Crit per livello. Lv 3: Subire controllo dà 1 livello extra.</t>
  </si>
  <si>
    <t>Passaggio degli Dei (Passivo)</t>
  </si>
  <si>
    <t>Durante caricamento purifica debuff.</t>
  </si>
  <si>
    <t>Lv 1: Se 3 alleati, immune a morte per 1s. A ogni morte apre passaggio (non divinità precisione e DAN -60% per max 3s). Lv 2: Precisione e DAN -75%. Lv 3: Non divinità non possono recuperare PS.</t>
  </si>
  <si>
    <t>Tornado infligge DAN reali totali pari a 20% PS max.</t>
  </si>
  <si>
    <t>Scudo di ali rimuove buff nemici e debuff alleati.</t>
  </si>
  <si>
    <t>Se scudo distrutto lancia Protezione Ali Giganti. Se scompare senza rompersi, ricarica -50%.</t>
  </si>
  <si>
    <t>Dio della Morte Surplice [Thanatos (LC) - Esclusivo]</t>
  </si>
  <si>
    <t>Pandora (LC)</t>
  </si>
  <si>
    <t>Bonus Salute: 30% | Bonus Difesa: 30% | Precisione: 120 | Tenacia: 90</t>
  </si>
  <si>
    <t>Ogni livello scontento dà Vel. ATT +25%.</t>
  </si>
  <si>
    <t>Ogni livello scontento consumato dà DAN CRIT +10%.</t>
  </si>
  <si>
    <t>Tartaros Phobia attacca 2 nemici.</t>
  </si>
  <si>
    <t>Nemico controllato ha DAN inflitto -35%.</t>
  </si>
  <si>
    <t>SCHEDA PERSONAGGIO: Alone (LC)</t>
  </si>
  <si>
    <t>Terrible Providence infligge 360% ATT; all'inizio lancia 1 volta la tecnica senza danno.</t>
  </si>
  <si>
    <t>Nemico controllato da Cosmic Marionation lancia abilità ciclica casuale.</t>
  </si>
  <si>
    <t>Bonus Salute: 15% | Bonus Attacco: 21% | Bonus Difesa: 12% | Sanguisuga: 60</t>
  </si>
  <si>
    <t>Bonus Salute: 12.00% | Schivata: 96.0 | Bonus Difesa: 16.50%</t>
  </si>
  <si>
    <t>Bonus Attacco: 7.50% | Critico: 96.0 | Bonus Salute: 7.20%</t>
  </si>
  <si>
    <t>2026-10-15</t>
  </si>
  <si>
    <t>Bonus Difesa: 26.40% | Precisione: 108.0 | Accelerazione: 12.0</t>
  </si>
  <si>
    <t>Passaggio degli Dei dura 1s in più.</t>
  </si>
  <si>
    <t>Immortalità dei non divinità annullata nel passaggio (se muoiono non resuscitano).</t>
  </si>
  <si>
    <t>Alone (LC)</t>
  </si>
  <si>
    <t>48417 / 55477</t>
  </si>
  <si>
    <t>9002 / 11384</t>
  </si>
  <si>
    <t>2026-10-08</t>
  </si>
  <si>
    <t>434104 / 652793</t>
  </si>
  <si>
    <t>Culla degli Inferi (Arcano)</t>
  </si>
  <si>
    <t>Lv 1: Mette alleato con PS bassi in culla (immune a DAN, recupera 2000 cosmo/sec) per 4s. Lv 2: Recupera anche 10% PS max/sec. Lv 3: Durata 5s. Inizio: 1.533s | Fine: 2.47s</t>
  </si>
  <si>
    <t>50498 / 55477</t>
  </si>
  <si>
    <t>Saetta Infernale del Giudizio (Ciclo)</t>
  </si>
  <si>
    <t>7850 / 11384</t>
  </si>
  <si>
    <t>Lv 1: 4 saette su Saint casuali (alleati curati 200% ATT e Prob. Crit +100%; nemici DAN 200% ATT e Prob. Crit -100%) per 5s. Lv 2: DAN inflitto +25% / DAN inflitto nemico -25%. Lv 3: 5 saette. Lv 4: Rid. DAN subiti alleato +25% / DAN subito nemico +25%. Inizio: 1.500s | Fine: 2.40s | Ritardo: 3.70s | Ricarica: 12.00s | Cosmos ATT: 1570 | Cosmos DANNO: 346</t>
  </si>
  <si>
    <t>Melodia del Ritorno delle Anime (Innesco)</t>
  </si>
  <si>
    <t>Lv 1: Se alleato in fin di vita, ritarda morte di 6s. Se partecipa a kill vive, altrimenti subisce 100% PS max reali. Intervallo 16s. Lv 2: +50 accelerazione e +50% ATT. Lv 3: Kill riduce intervallo del 75%.</t>
  </si>
  <si>
    <t>Serpente Infernale (Passivo)</t>
  </si>
  <si>
    <t>Lv 1: Alleati ottengono 2 accelerazione per livello di Serpente Infernale (accumulabile fino a 40 liv da azioni alleati/nemici). Ogni 10s scudo 6% PS max * livelli per 5s. Lv 2: Bonus DAN +1% per livello. Lv 3: Rid. DAN +1% per livello.</t>
  </si>
  <si>
    <t>Paradiso Perduto (Arcano)</t>
  </si>
  <si>
    <t>Lv 1: Dipinge tela su nemico con maggior DAN (subisce DAN +35%, attacchi 35% vuoto) per 5s. Lv 2: Accelerazione -35, recupero cosmo -35%. Lv 3: Non prendibile di mira, sottrazioni nemiche aggiunte a sé stesso. Inizio: 1.700s | Fine: 2.63s | Cosmos DANNO: 600</t>
  </si>
  <si>
    <t>Fulmine dell’Obliterazione (Ciclo)</t>
  </si>
  <si>
    <t>Lancia di Pandora (LC) [Pandora (LC) - Esclusivo]</t>
  </si>
  <si>
    <t>Lv 1: Su nemico PS alti infligge DAN reali 150% ATT + 15% PS attuali e cura Alone. ATT/DIF/Accelerazione -15% permanenti (max 3 volte). Lv 2: Ottiene 1 Dono Eguale. Lv 3: Ricarica -10% per lancio (max 40%). Lv 4: Dà 1 Dono Equo ad alleato debole. Inizio: 0.900s | Fine: 1.83s | Ritardo: 4.30s | Ricarica: 12.00s | Cosmos ATT: 1669</t>
  </si>
  <si>
    <t>Vero Rosso (Passivo)</t>
  </si>
  <si>
    <t>Lv 1: Inizio battaglia dà Dono Equo a tous (nemici consumano Dono Eguale per subire 15% PS max Alone da tecnica segreta; alleati letali immuni e curati 10% PS max). Lv 2: Ogni 10 Doni consumati dà 1 livello extra a tutti (max 3). Lv 3: Ogni Dono Equo applicato dà scudo 20% PS max per 5s.</t>
  </si>
  <si>
    <t>Gabbia per Uccelli (Innesco)</t>
  </si>
  <si>
    <t>Lv 1: Subire DAN tot pari a 80% PS max attiva Gabbia (no azione, DAN subiti -50%, recupera 15% PS persi/sec) per 5s (max 2 volte). Lv 2: A fine gabbia dà Dono Equo a tutti. Lv 3: Recupera 600 cosmo/sec.</t>
  </si>
  <si>
    <t>Saetta Infernale evoca 7 saette.</t>
  </si>
  <si>
    <t>Colpi saette riducono ricarica Saetta Infernale del 3% (max 20 volte).</t>
  </si>
  <si>
    <t>Ciondolo di Alone (LC) [Alone (LC) - Esclusivo]</t>
  </si>
  <si>
    <t>Alleati in Culla degli Inferi riflettono tutto il DAN subito.</t>
  </si>
  <si>
    <t>Alleati in culla recuperano 3500 cosmo/sec e possono lanciare Tecnica Segreta.</t>
  </si>
  <si>
    <t>Accelerazione dopo tecnica segreta +100.</t>
  </si>
  <si>
    <t>Fulmine dell’Obliterazione infligge DAN reali pari a 15% PS max.</t>
  </si>
  <si>
    <t>Consumo Dono Equo stordisce nemici per 1.5s.</t>
  </si>
  <si>
    <t>Valori Paradiso Perduto salgono a 50, lancia max 1 volta/sec su 2 nemici extra.</t>
  </si>
  <si>
    <t>Bonus Salute: 24% | Bonus Attacco: 15% | Bonus Difesa: 15% | Accelerazione: 30</t>
  </si>
  <si>
    <t>Serpente Infernale a liv 10 attiva subito 1 scudo.</t>
  </si>
  <si>
    <t>Serpente Infernale a liv 20 lancia Tecnica Segreta senza consumare Cosmo.</t>
  </si>
  <si>
    <t>Bonus Salute: 12.00% | Fermezza: 132.0 | Effetto Cura: 4.20%</t>
  </si>
  <si>
    <t>Durante Gabbia del Sogno è immune a qualunque DAN.</t>
  </si>
  <si>
    <t>Inizio battaglia dà 2 livelli di Dono Equo a tutti (non considerato buff/debuff).</t>
  </si>
  <si>
    <t>Bonus Salute: 12.00% | Fermezza: 132.0 | Bonus Difesa: 16.50%</t>
  </si>
  <si>
    <t>Bonus Difesa: 26.40% | Schivata: 96.0 | Bonus Attacco: 3.90%</t>
  </si>
  <si>
    <t>SCHEDA PERSONAGGIO: Pandora</t>
  </si>
  <si>
    <t>SCHEDA PERSONAGGIO: Kanon (Drago di Mare)</t>
  </si>
  <si>
    <t>Pandora</t>
  </si>
  <si>
    <t>Kanon (Drago di Mare)</t>
  </si>
  <si>
    <t>2023-02-15</t>
  </si>
  <si>
    <t>Drago di Mare</t>
  </si>
  <si>
    <t>1041 / 1160</t>
  </si>
  <si>
    <t>Marinas</t>
  </si>
  <si>
    <t>177 / 197</t>
  </si>
  <si>
    <t>2022-09-07</t>
  </si>
  <si>
    <t>Vaso di Pandora (Arcano)</t>
  </si>
  <si>
    <t>433316 / 652793</t>
  </si>
  <si>
    <t>Lv 1: Lancia 5 calamità sulle unità con salute più bassa (alleati curati 140% ATT + 30% PS persi; nemici DAN 140% ATT + 30% PS persi). Lv 2: Cura/DAN 160% ATT + 35% PS persi. Lv 3: Cura/DAN 180% ATT + 40% PS persi. Inizio: 1.167s | Fine: 2.63s | Cosmos DANNO: 346</t>
  </si>
  <si>
    <t>Demoness Spear (Ciclo)</t>
  </si>
  <si>
    <t>Lv 1: Attacca 3 nemici di fronte (160% ATT). Lv 2: Riduce cure ricevute del 50% per 3s. Lv 3: DAN 180% ATT. Lv 4: Riduce cure del 75% per 4s. Inizio: 0.867s | Fine: 1.77s | Ritardo: 4.90s | Ricarica: 10.50s | Cosmos ATT: 1078 | Cosmos DANNO: 242</t>
  </si>
  <si>
    <t>Desiderio di Opposizione (Ciclo)</t>
  </si>
  <si>
    <t>Lv 1: Fornisce [opposizione] all'alleato con % salute più bassa (trasforma DAN subiti in cura) per 2.5s. Lv 2: Durata 3s. Lv 3: Durata 3.5s. Inizio: 0.834s | Fine: 1.80s | Ritardo: 3.90s | Ricarica: 12.00s | Cosmos ATT: 1113</t>
  </si>
  <si>
    <t>Doomstar (Apertura/Passivo)</t>
  </si>
  <si>
    <t>Lv 1: Tutti tranne Pandora perdono 0.75% PS max (DAN max 75% ATT Pandora). Lv 2: Perdono 1% PS max (DAN max 100% ATT). Lv 3: Perdono 1.25% PS max (DAN max 125% ATT).</t>
  </si>
  <si>
    <t>Lancia di Pandora [Pandora - Esclusivo]</t>
  </si>
  <si>
    <t>Golden Triangle (Arcano)</t>
  </si>
  <si>
    <t>Lv 1: Esilia nemico con ATT più alto per 3s, poi DAN 210% ATT che ignora DIF (x5 se PS &lt; 40%). Trasferisce 50% danni subiti da Kanon al bersaglio. Lv 2: Se bersaglio muore, scudo 350% ATT per 8s. Lv 3: Se bersaglio muore, ottiene 2500 cosmo. Inizio: 5.000s | Fine: 5.40s | Cosmos DANNO: 600</t>
  </si>
  <si>
    <t>Galaxian Explosion (Ciclo)</t>
  </si>
  <si>
    <t>Vaso di Pandora guarisce, purifica debuff e dà Benedizione (5s).</t>
  </si>
  <si>
    <t>Lv 1: Colpisce 3 nemici casuali (200% ATT) e applica [ferita grave] per 4s. Lv 2: +1% DAN extra per ogni 1% PS ridotti del bersaglio (max 60%). Lv 3: DAN 220% ATT. Lv 4: Ferita grave 6s. Inizio: 0.001s | Fine: 3.45s | Ritardo: 3.70s | Ricarica: 9.50s | Cosmos ATT: 1782 | Cosmos DANNO: 346</t>
  </si>
  <si>
    <t>Vaso di Pandora infligge DAN, disperde buff e blocca cure (5s).</t>
  </si>
  <si>
    <t>Genromaoken (Apertura)</t>
  </si>
  <si>
    <t>Doomstar infligge DAN e recupera subito 50 punti Cosmo.</t>
  </si>
  <si>
    <t>Lv 1: Usa Genromaoken sul nemico opposto (usa propria abilità invertendo bersagli o DAN reali 350% ATT se non può usarla). Lv 2: Bonus ATT 25% dell'ATT di Kanon. Lv 3: Bonus ATT 50% dell'ATT di Kanon. Inizio: 0.567s | Fine: 1.80s | Ordine d'azione: 85</t>
  </si>
  <si>
    <t>Vendetta (Passivo)</t>
  </si>
  <si>
    <t>Doomstar infligge DAN e recupera subito 100 punti Cosmo.</t>
  </si>
  <si>
    <t>Lv 1: Attaccante perde 800 cosmo (intervallo 2.5s). Lv 2: Perde 1000 cosmo. Lv 3: Perde 1200 cosmo.</t>
  </si>
  <si>
    <t>Sea Dragon Scale [Kanon - Esclusivo]</t>
  </si>
  <si>
    <t>Desiderio di Opposizione ha effetto anche su di sé.</t>
  </si>
  <si>
    <t>Lanciando qualunque abilità, resetta il tempo di ricarica di Desiderio di Opposizione.</t>
  </si>
  <si>
    <t>Durata Ferita Grave di Galaxian Explosion +2s.</t>
  </si>
  <si>
    <t>Bonus Salute: 12.00% | Fermezza: 132.0 | Bonus Attacco: 3.60%</t>
  </si>
  <si>
    <t>Bonus Attacco: 7.50% | Effetto Cura: 6.00% | Bonus Salute: 6.90%</t>
  </si>
  <si>
    <t>Durante Ferita Grave, danno inflitto al bersaglio da Kanon +30%.</t>
  </si>
  <si>
    <t>Bonus Difesa: 26.40% | Schivata: 96.0 | Effetto Cura: 3.60%</t>
  </si>
  <si>
    <t>Se Golden Triangle uccide, tutti i nemici subiscono terrore per 2.5s.</t>
  </si>
  <si>
    <t>Se PS Kanon &lt; 60%, Golden Triangle causa danni quintuplicati.</t>
  </si>
  <si>
    <t>Bonus Salute: 24% | Bonus Attacco: 18% | Precisione: 90 | Schivata: 90</t>
  </si>
  <si>
    <t>L'effetto di vendetta si attiva una volta ogni 2 secondi per ogni nemico.</t>
  </si>
  <si>
    <t>In battaglia, ogni 10 secondi Kanon lancia di nuovo Genromaoken.</t>
  </si>
  <si>
    <t>Bonus Salute: 12.00% | Schivata: 96.0 | Bonus Attacco: 4.20%</t>
  </si>
  <si>
    <t>Bonus Difesa: 26.40% | Precisione: 108.0 | Schivata: 63.0</t>
  </si>
  <si>
    <t>SCHEDA PERSONAGGIO: Saga le maléfique (Gemelli)</t>
  </si>
  <si>
    <t>Saga le maléfique (Gemelli)</t>
  </si>
  <si>
    <t>Gemelli</t>
  </si>
  <si>
    <t>2022-07-12</t>
  </si>
  <si>
    <t>54425 / 55477</t>
  </si>
  <si>
    <t>7218 / 11384</t>
  </si>
  <si>
    <t>1053 / 1160</t>
  </si>
  <si>
    <t>SCHEDA PERSONAGGIO: Shaka (Vergine)</t>
  </si>
  <si>
    <t>Lv 1: Macigni su tutti i nemici (primo colpo 70% ATT, i successivi -10%). Lv 2: Ferita grave 1s. Lv 3: Primo colpo 80% ATT. Inizio: 2.800s | Fine: 7.20s | Cosmos DANNO: 50</t>
  </si>
  <si>
    <t>Lv 1: Attacca nemico opposto (170% ATT) e lo controlla per 5s (attacca alleati con attacchi base). Lv 2: DAN 200% ATT. Lv 3: Bersaglio controllato può usare abilità ma non tecniche segrete. Lv 4: DAN 230% ATT. Inizio: 0.600s | Fine: 1.00s | Ritardo: 4.50s | Ricarica: 10.50s | Cosmos ATT: 990 | Cosmos DANNO: 600</t>
  </si>
  <si>
    <t>Lv 1: Universo parallelo per 12s. Nemici subiscono 22% ATT ogni sec e precisione -5%. Saga immune a debuff nella dimensione. Lv 2: Precisione -10%. Lv 3: Riduzione DAN 25% per Saga. Inizio: 0.400s | Fine: 1.30s | Ritardo: 3.30s | Ricarica: 20.00s | Cosmos ATT: 1140</t>
  </si>
  <si>
    <t>Incarnazione del Male (Passivo)</t>
  </si>
  <si>
    <t>Lv 1: Inizio battaglia +25% recupero cosmo (si riduce in 25s). Lv 2: Inizio battaglia -40% DAN subiti (si riduce in 25s). Lv 3: Inizio battaglia +25% prob. crit (si riduce in 25s).</t>
  </si>
  <si>
    <t>Gemelli Gold Cloth [Saga Malefico - Esclusivo]</t>
  </si>
  <si>
    <t>Shaka (Vergine)</t>
  </si>
  <si>
    <t>Vergine</t>
  </si>
  <si>
    <t>Another Dimension dura 15 secondi.</t>
  </si>
  <si>
    <t>Nemici in Another Dimension hanno prob. critico subito +25%.</t>
  </si>
  <si>
    <t>Nemici in Another Dimension accumulano Cosmo -25% più lentamente.</t>
  </si>
  <si>
    <t>invocation.Vip</t>
  </si>
  <si>
    <t>Nemici in Another Dimension perdono il 2% della salute corrente ogni secondo.</t>
  </si>
  <si>
    <t>Bonus Salute: 15% | Bonus Attacco: 21% | Bonus Difesa: 9% | Precisione: 120</t>
  </si>
  <si>
    <t>6813 / 11384</t>
  </si>
  <si>
    <t>1034 / 1160</t>
  </si>
  <si>
    <t>176 / 197</t>
  </si>
  <si>
    <t>Bersaglio controllato da Genromaoken riceve il 50% dei danni subiti da Saga Malvagio.</t>
  </si>
  <si>
    <t>Tenbu Horin (Arcano)</t>
  </si>
  <si>
    <t>Lv 1: Blocca i 5 sensi, DAN 200% ATT a tutti e causa perdita di un senso (tatto/vista/udito/olfatto/gusto) per 8s. Tatto: no recupero cosmo; Vista: colpi a vuoto; Udito: no schivata, critico subito +50%; Olfatto: vel. ATT al minimo; Gusto: no abilità. Lv 2: DAN 230% ATT, immunità 2s. Lv 3: DAN 260% ATT, invincibilità 3s. Inizio: 1.167s | Fine: 4.03s | Cosmos DANNO: 402</t>
  </si>
  <si>
    <t>Durata controllo Genromaoken +50%, immune a controllo durante il controllo.</t>
  </si>
  <si>
    <t>Tenkuhaja Chimimoryo (Ciclo)</t>
  </si>
  <si>
    <t>Lv 1: Demoni sottraggono 20% PS max al nemico con PS più alti e creano scudo per Shaka per 6s (poi restituiti). Lv 2: Scudo assorbe 25% DAN di squadra. Lv 3: PS sottratti 22%. Lv 4: PS sottratti 25%. Inizio: 1.034s | Fine: 2.10s | Ritardo: 4.60s | Ricarica: 13.00s | Cosmos ATT: 1232 | Cosmos DANNO: 420</t>
  </si>
  <si>
    <t>Tenma Koufuku (Ciclo)</t>
  </si>
  <si>
    <t>Lv 1: Colpisce i 2 nemici con maggior DAN totale (240% ATT) e causa [terrore] per 3s. Lv 2: Fa recuperare 600 cosmo/sec a tutti gli alleati per 3s. Lv 3: Recupera salute pari al DAN inflitto. Inizio: 0.934s | Fine: 2.00s | Ritardo: 3.40s | Ricarica: 11.00s | Cosmos ATT: 1008 | Cosmos DANNO: 242</t>
  </si>
  <si>
    <t>Om (Innesco)</t>
  </si>
  <si>
    <t>Lv 1: Lanciando Tenbu Horin entra in stato [occhi aperti], purifica debuff, lancia Tenkuhaja Chimimoryo, ATT e DIF +25% per 6s. Lv 2: +25% sanguisuga. Lv 3: Immune a debuff DAN continuato, +75 accelerazione.</t>
  </si>
  <si>
    <t>Vergine Gold Cloth [Shaka - Esclusivo]</t>
  </si>
  <si>
    <t>Tenkuhaja Chimimoryo colpisce 1 bersaglio aggiuntivo.</t>
  </si>
  <si>
    <t>Scudi estratti assorbono 50% del danno per i compagni.</t>
  </si>
  <si>
    <t>Se lo scudo viene restituito e il bersaglio è morto, convertito nel max valore PS di Shaka.</t>
  </si>
  <si>
    <t>Tenkuhaja Chimimoryo colpisce 2 bersagli aggiuntivi.</t>
  </si>
  <si>
    <t>Bonus Salute: 18% | Bonus Attacco: 18% | Bonus Difesa: 12% | Sanguisuga: 60</t>
  </si>
  <si>
    <t>Ricevendo DAN, aumenta i danni subiti dall'attaccante del 30% per 3s.</t>
  </si>
  <si>
    <t>DAN subiti da attaccante +30% per 4s. Alla morte applica scudo speciale (20% PS max) per 4s.</t>
  </si>
  <si>
    <t>Bonus Salute: 12.00% | Precisione: 108.0 | Bonus Attacco: 3.60%</t>
  </si>
  <si>
    <t>Bonus Difesa: 26.40% | Velocità Attacco: 7.50% | Fermezza: 78.0</t>
  </si>
  <si>
    <t>SCHEDA PERSONAGGIO: Saga (Gemelli)</t>
  </si>
  <si>
    <t>Saga (Gemelli)</t>
  </si>
  <si>
    <t>2022-08-03</t>
  </si>
  <si>
    <t>52795 / 55477</t>
  </si>
  <si>
    <t>1095 / 1160</t>
  </si>
  <si>
    <t>SCHEDA PERSONAGGIO: Sorrento (Sirena)</t>
  </si>
  <si>
    <t>Lv 1: Meteore da Another Dimension su tutti (90% ATT ciascuna), 35% probabilità di stordimento per 1s. Lv 2: DAN 100% ATT. Lv 3: Probabilità stordimento 45%. Inizio: 3.000s | Fine: 7.50s | Cosmos DANNO: 50</t>
  </si>
  <si>
    <t>Lv 1: Colpisce 2 nemici della fila posteriore (160% ATT) e impedisce recupero cosmo per 5s. Lv 2: +50% danni se il bersaglio è in controllo. Lv 3: DAN 180%. Lv 4: DAN 200%. Inizio: 0.467s | Fine: 1.30s | Ritardo: 2.50s | Ricarica: 11.00s | Cosmos ATT: 1163 | Cosmos DANNO: 318</t>
  </si>
  <si>
    <t>Comet Strike (Innesco)</t>
  </si>
  <si>
    <t>Lv 1: Dopo 22s lancia meteorite (30% PS attuali e stordimento 3s). Lv 2: 40% PS attuali. Lv 3: 50% PS attuali.</t>
  </si>
  <si>
    <t>Incarnazione Divina (Passivo)</t>
  </si>
  <si>
    <t>Lv 1: Ogni sec +1% ATT (max 40%). Lv 2: Ogni sec +0.5% sanguisuga (max 20%). Lv 3: Dopo 25s immune a controllo.</t>
  </si>
  <si>
    <t>Sorrento (Sirena)</t>
  </si>
  <si>
    <t>Sirena</t>
  </si>
  <si>
    <t>Gemelli Gold Cloth [Saga - Esclusivo]</t>
  </si>
  <si>
    <t>Probabilità stordimento Galaxian Explosion 50%.</t>
  </si>
  <si>
    <t>2022-11-16</t>
  </si>
  <si>
    <t>Probabilità stordimento Galaxian Explosion 60%.</t>
  </si>
  <si>
    <t>472650 / 652793</t>
  </si>
  <si>
    <t>Comet Strike ritardato a 18 secondi.</t>
  </si>
  <si>
    <t>Comet Strike ritardato a 14 secondi.</t>
  </si>
  <si>
    <t>8190 / 11384</t>
  </si>
  <si>
    <t>Bonus Salute: 24% | Bonus Attacco: 21% | Precisione: 60 | Critico: 90</t>
  </si>
  <si>
    <t>1035 / 1160</t>
  </si>
  <si>
    <t>Primo scende PS sotto 60%, entra in Another Dimension per 4s (recupera 12% PS persi, 1200 cosmo, immune).</t>
  </si>
  <si>
    <t>PS sotto 30% rientra in Another Dimension e raddoppia livelli Incarnazione Divina.</t>
  </si>
  <si>
    <t>Bonus Salute: 12.00% | Precisione: 108.0 | Critico: 66.0</t>
  </si>
  <si>
    <t>Bonus Attacco: 11.40% | Critico: 96.0</t>
  </si>
  <si>
    <t>Bonus Difesa: 26.40% | Velocità Attacco: 7.50% | Danno Crit: 63.0</t>
  </si>
  <si>
    <t>Dead End Symphony (Arcano)</t>
  </si>
  <si>
    <t>Lv 1: Suona Dead End Symphony, infligge ogni sec DAN reale pari al 50% dell’ATT a tutti per 6s. Lv 2: Sigilla tecniche segrete dei nemici. Lv 3: DAN al secondo 60% ATT. Inizio: 1.100s | Fine: 7.50s | Cosmos DANNO: 45</t>
  </si>
  <si>
    <t>Dead End Climax (Ciclo)</t>
  </si>
  <si>
    <t>Lv 1: Colpisce nemico con PS più bassi (260% ATT), riduce ATT 30% per 8s e fa perdere 4% PS max/sec. Lv 2: DAN 260% ATT. Lv 3: Se PS &lt; 30% non può recuperare salute. Lv 4: ATT ridotto 40%. Inizio: 0.600s | Fine: 1.65s | Ritardo: 6.50s | Ricarica: 12.50s | Cosmos ATT: 1235 | Cosmos DANNO: 390</t>
  </si>
  <si>
    <t>Suono della Sirena (Ciclo)</t>
  </si>
  <si>
    <t>Lv 1: Seduce 2 nemici per 3s (attaccano alleati, vel. ATT +30%, no abilità). Lv 2: Bersaglio sedotto non recupera cosmo. Lv 3: Durata 4s. Inizio: 0.600s | Fine: 1.80s | Ritardo: 3.80s | Ricarica: 13.00s | Cosmos ATT: 1092 | Cosmos DANNO: 390</t>
  </si>
  <si>
    <t>Luna nello Stagno (Innesco)</t>
  </si>
  <si>
    <t>Lv 1: Mirato da abilità, crea barriera protettiva (25% PS max di Sorrento) per 6s (intervallo 5s). Lv 2: Assorbe 35% PS max. Lv 3: Intervallo 4s.</t>
  </si>
  <si>
    <t>Siren Scale [Sorrento - Esclusivo]</t>
  </si>
  <si>
    <t>Bersagli di Dead End Climax non recuperano salute se PS &lt; 60%.</t>
  </si>
  <si>
    <t>Sanguinamento Dead End Climax rigenera salute per tutta la squadra.</t>
  </si>
  <si>
    <t>Durante Dead End Symphony, purifica debuff alleati e disperde buff nemici ogni secondo.</t>
  </si>
  <si>
    <t>Durante Dead End Symphony, tutto il cosmo recuperato dai nemici è trasferito a Sorrento.</t>
  </si>
  <si>
    <t>Bonus Salute: 21% | Bonus Attacco: 21% | Schivata: 90 | Tenacia: 90</t>
  </si>
  <si>
    <t>Suono della Sirena aumenta vel. ATT del bersaglio del 60%.</t>
  </si>
  <si>
    <t>Durata Suono della Sirena +1s; il cosmo ottenuto dal bersaglio è trasferito a Sorrento.</t>
  </si>
  <si>
    <t>Bonus Attacco: 7.50% | Critico: 96.0 | Bonus Salute: 6.90%</t>
  </si>
  <si>
    <t>Bonus Difesa: 26.40% | Velocità Attacco: 7.50% | Tenacia: 72.0</t>
  </si>
  <si>
    <t>SCHEDA PERSONAGGIO: Poseidon (Imperatrice dei Mari)</t>
  </si>
  <si>
    <t>Poseidon (Imperatrice dei Mari)</t>
  </si>
  <si>
    <t>Imperatrice dei Mari</t>
  </si>
  <si>
    <t>SCHEDA PERSONAGGIO: Kanon (Gemelli)</t>
  </si>
  <si>
    <t>2022-12-21</t>
  </si>
  <si>
    <t>1003 / 1160</t>
  </si>
  <si>
    <t>171 / 197</t>
  </si>
  <si>
    <t>Great Flood (Arcano)</t>
  </si>
  <si>
    <t>Kanon (Gemelli)</t>
  </si>
  <si>
    <t>Lv 1: Marea su tutti (210% ATT), disperde buff. Consuma metà del cosmo attuale (+5% DAN ogni 1000 cosmo consumati). Ricarica max 1 volta ogni 14s. Lv 2: Ricarica 13s. Lv 3: Ricarica 12s. Inizio: 2.100s | Fine: 3.50s | Cosmos DANNO: 402</t>
  </si>
  <si>
    <t>Divine Thunder (Ciclo)</t>
  </si>
  <si>
    <t>Lv 1: 3 fulmini casuali (160% ATT ciascuno). Lv 2: Toglie 400 cosmo. Lv 3: Stordimento 2s. Lv 4: DAN 180% ATT, recupera cosmo pari ai PS persi dai nemici. Inizio: 0.400s | Fine: 1.40s | Ritardo: 3.80s | Ricarica: 11.00s | Cosmos ATT: 962 | Cosmos DANNO: 346</t>
  </si>
  <si>
    <t>Ira Divina (Apertura)</t>
  </si>
  <si>
    <t>Lv 1: Inizio battaglia riflette danni e abilità subite per 3s. Lv 2: Durata 4s. Lv 3: Durata 5s. Inizio: 0.433s | Fine: 3.07s | Ordine d'azione: 50</t>
  </si>
  <si>
    <t>Resurrezione del Dio dei Mari (Passivo)</t>
  </si>
  <si>
    <t>Lv 1: Risveglio progressivo a 3000/10000/20000 cosmo. 1° fase: +25% recupero cosmo; 2° fase: attacco base extra e prob. fulmine; 3° fase: attacco base toglie 500 cosmo. Lv 2: +15% ATT e +15 accelerazione a ogni risveglio.</t>
  </si>
  <si>
    <t>Dio dei Mari - God Cloth [Poseidon - Esclusivo]</t>
  </si>
  <si>
    <t>2022-11-02</t>
  </si>
  <si>
    <t>441754 / 652793</t>
  </si>
  <si>
    <t>Durante il recupero recupera subito 20% PS max.</t>
  </si>
  <si>
    <t>7137 / 11384</t>
  </si>
  <si>
    <t>Recupera 25% PS max e ottiene scudo permanente.</t>
  </si>
  <si>
    <t>1006 / 1160</t>
  </si>
  <si>
    <t>Ogni 2000 cosmo accumulato +3% ATT e +3 velocità (max 10 volte).</t>
  </si>
  <si>
    <t>Terminato recupero rilancia Ira Divina ed è immune a controlli non interrompibili.</t>
  </si>
  <si>
    <t>Bonus Salute: 15% | Bonus ATT: 21% | Bonus DIF: 15% | Critico: 90</t>
  </si>
  <si>
    <t>Lv 1: Trascina 3 bersagli nella zona centrale (260% ATT) e applica [soppressione] per 3s (non possono agire, DAN subito trasferito tra loro). Lv 2: DAN 300% ATT. Lv 3: Soppressione 4s. Inizio: 2.600s | Fine: 4.60s | Cosmos DANNO: 346</t>
  </si>
  <si>
    <t>Nemico colpito da Divine Thunder ha recupero cosmo -80% per 5s.</t>
  </si>
  <si>
    <t>Lv 1: Evoca un pianeta su 1 nemico (cade dopo 6s, 380% ATT). Se subisce controllo, evoca cometa (200% ATT) e aggiunge 1 livello di [meteorite] (+10% DAN subiti dal bersaglio, max lv 3). Lv 2: +15% DAN subiti per livello. Lv 3: Alla caduta del pianeta, stordisce 1.5s per ogni livello di meteorite. Lv 4: Se meteorite al max, evoca cometa extra (50% PS persi del bersaglio). Inizio: 1.200s | Fine: 2.35s | Ricarica: 6.00s | Cosmos ATT: 450 | Cosmos DANNO: 420</t>
  </si>
  <si>
    <t>Ogni 8 secondi scaglia un Divine Thunder extra.</t>
  </si>
  <si>
    <t>Bonus Salute: 12.00% | Precisione: 108.0 | Bonus Attacco: 4.20%</t>
  </si>
  <si>
    <t>Lv 1: Entra in stato [confusione] su nemico anteriore e vel. ATT +50% per 2s (attacca alleati). Lv 2: Alla fine, ATT si riduce del 50% per 2s. Lv 3: Durata confusione e riduzione ATT 3s. Inizio: 0.700s | Fine: 1.70s | Ritardo: 4.10s | Ricarica: 12.60s | Cosmos ATT: 1169 | Cosmos DANNO: 420</t>
  </si>
  <si>
    <t>Anima Redenta (Passivo)</t>
  </si>
  <si>
    <t>Bonus Attacco: 7.50% | Critico: 96.0 | Sanguisuga: 24.0</t>
  </si>
  <si>
    <t>Lv 1: Più è bassa la salute, più alto il DAN da abilità (+1% per ogni 1% di PS persi). Lv 2: +1.5% per 1% PS persi. Lv 3: +2% per 1% PS persi.</t>
  </si>
  <si>
    <t>Bonus Difesa: 26.40% | Velocità Attacco: 7.50% | Accelerazione: 10.5</t>
  </si>
  <si>
    <t>Gemelli Gold Cloth [Kanon - Esclusivo]</t>
  </si>
  <si>
    <t>Per ogni 2% di PS persi, vel. ATT +1%.</t>
  </si>
  <si>
    <t>Per ogni 1% di PS persi, vel. ATT +1%.</t>
  </si>
  <si>
    <t>Ogni livello di Meteora aumenta il danno inflitto del 20%.</t>
  </si>
  <si>
    <t>Alla morte, evoca pioggia di meteoriti veloci su tutti (50% PS precedentemente persi del bersaglio).</t>
  </si>
  <si>
    <t>Bonus Salute: 15% | Bonus Attacco: 18% | Bonus Difesa: 12% | Schivata: 90</t>
  </si>
  <si>
    <t>Durata confusione di Genromaoken e riduzione ATT aumenta di 1.5s.</t>
  </si>
  <si>
    <t>Dopo che un nemico attacca Kanon, riceve subito Genromaoken (lanciabile 1 volta per nemico).</t>
  </si>
  <si>
    <t>Bonus Attacco: 7.50% | Critico: 96.0 | Schivata: 60.0</t>
  </si>
  <si>
    <t>Bonus Difesa: 26.40% | Precisione: 108.0 | Critico: 66.0</t>
  </si>
  <si>
    <t>SCHEDA PERSONAGGIO: Seiya (Pegaso Divino)</t>
  </si>
  <si>
    <t>Seiya (Pegaso Divino)</t>
  </si>
  <si>
    <t>Pegaso Divino</t>
  </si>
  <si>
    <t>2023-07-12</t>
  </si>
  <si>
    <t>445323 / 652793</t>
  </si>
  <si>
    <t>51336 / 55477</t>
  </si>
  <si>
    <t>1012 / 1160</t>
  </si>
  <si>
    <t>172 / 197</t>
  </si>
  <si>
    <t>SCHEDA PERSONAGGIO: Athéna (Dea)</t>
  </si>
  <si>
    <t>Pegasus Suiseiken (Arcano)</t>
  </si>
  <si>
    <t>Lv 1: Ottiene [Risveglio della Giustizia] (immune DAN/debuff) e attacca 8 volte il nemico con ATT più alto (100% ATT ciascuno, eredita effetti attacchi base). Lv 2: Ultimo colpo DAN extra 10% PS max. Lv 3: Ultimo colpo DAN extra 15% PS max. Inizio: 1.900s | Fine: 3.50s | Cosmos DANNO: 75</t>
  </si>
  <si>
    <t>Duellante! (Apertura)</t>
  </si>
  <si>
    <t>Lv 1: Obbliga nemico opposto a [duello] per 5s (vel. ATT +50%, solo attacchi base reciproci, immuni a controllo tranne interruzione). Lv 2: Vel. ATT extra di Seiya +75%. Lv 3: Vel. ATT extra +100%. Lv 4: Durata duello 6s. Inizio: 0.000s | Fine: 0.01s | Ordine d'azione: 10</t>
  </si>
  <si>
    <t>Saint della Speranza (Innesco)</t>
  </si>
  <si>
    <t>Lv 1: Ricevendo DAN ha 35% probabilità di lanciare Pegasus Ryuseiken (100% ATT con effetti attacchi base, intervallo 3s). Lv 2: Si libera di tutti i debuff. Lv 3: Probabilità lancio +50%.</t>
  </si>
  <si>
    <t>Athéna (Dea)</t>
  </si>
  <si>
    <t>Preghiera di Dio (Passivo)</t>
  </si>
  <si>
    <t>Lv 1: Ogni attacco aumenta l'ATT del 10% (max 200%). Lv 2: Ogni attacco aumenta vel. ATT del 5% (max 100%). Lv 3: Ogni attacco aumenta l'ATT del 15% (max 300%).</t>
  </si>
  <si>
    <t>Dea</t>
  </si>
  <si>
    <t>Pegasus God Cloth [Seiya - Esclusivo]</t>
  </si>
  <si>
    <t>Fine duello, mantiene +50% vel. ATT.</t>
  </si>
  <si>
    <t>2023-04-05</t>
  </si>
  <si>
    <t>Saint della Speranza riduce DAN subiti del 50% per 3s.</t>
  </si>
  <si>
    <t>555414 / 652793</t>
  </si>
  <si>
    <t>Intervallo Saint della Speranza ridotto a 2s.</t>
  </si>
  <si>
    <t>41614 / 55477</t>
  </si>
  <si>
    <t>DAN subito non supera mai 10% PS max (intervallo 3s).</t>
  </si>
  <si>
    <t>9720 / 11384</t>
  </si>
  <si>
    <t>1096 / 1160</t>
  </si>
  <si>
    <t>Refuge of Goddess (Arcano)</t>
  </si>
  <si>
    <t>Ogni attacco dà 300 punti cosmo.</t>
  </si>
  <si>
    <t>Lv 1: Protezione divina per 8s (tutti i DAN subiti ridotti del 30%). Se ricevono tecnica segreta, recuperano 20% PS max di Atena (eccesso in scudo per 5s). Attivabile 1 volta per alleato. Lv 2: Riduzione DAN 35%. Lv 3: Riduzione DAN 40%. Inizio: 2.700s | Fine: 4.30s | Ordine d'azione: 30</t>
  </si>
  <si>
    <t>Punizione Divina (Ciclo)</t>
  </si>
  <si>
    <t>Ogni attacco ha 50% precisione extra e sanguisuga.</t>
  </si>
  <si>
    <t>Lv 1: Raggi di luce su tutti (ogni 0.5s infligge 30% ATT + 3% PS attuali) per 4s, ultimo colpo stordisce 2s. Lv 2: DAN e durata +50% vs Saint Oscurità. Lv 3: Atena recupera salute pari al 50% del DAN inflitto. Lv 4: DAN 40% ATT + 4% PS attuali. Inizio: 0.360s | Fine: 3.17s | Ritardo: 4.60s | Ricarica: 12.00s | Cosmos DANNO: 37</t>
  </si>
  <si>
    <t>Goddess Fury (Apertura)</t>
  </si>
  <si>
    <t>Lv 1: Alleati ottengono 200 cosmo ogni 2s; per ogni alleato in vita, Atena aumenta la DIF del 30%. Lv 2: 250 cosmo, 35% DIF. Lv 3: 300 cosmo, 40% DIF.</t>
  </si>
  <si>
    <t>Potenza Divina (Innesco)</t>
  </si>
  <si>
    <t>Lv 1: Ricevendo DAN critico ottiene scudo pari a 300% della DIF per 6s (intervallo 6s). Lv 2: Intervallo 5s. Lv 3: Intervallo 4s.</t>
  </si>
  <si>
    <t>Bonus Attacco: 7.50% | Tenacia: 114.0 | Accelerazione: 12.0</t>
  </si>
  <si>
    <t>Bonus Difesa: 26.40% | Sanguisuga: 48.0 | Bonus Salute: 6.90%</t>
  </si>
  <si>
    <t>Atena Cloth [Dea della Guerra - Esclusivo]</t>
  </si>
  <si>
    <t>Durata stordimento Punizione Divina +3s.</t>
  </si>
  <si>
    <t>Ripristino salute da Punizione Divina sale al 100%.</t>
  </si>
  <si>
    <t>Mentre Potere Divino è attivo, i controlli subiti vengono rimandati al bersaglio.</t>
  </si>
  <si>
    <t>Potere Divino offre immunità totale nei primi 2s ed è applicato a tutti i compagni.</t>
  </si>
  <si>
    <t>Bonus Salute: 18% | Bonus Attacco: 15% | Bonus Difesa: 18% | Critico: 120</t>
  </si>
  <si>
    <t>Durata Refuge of Goddess aumentata del 50%.</t>
  </si>
  <si>
    <t>All'inizio della battaglia usa subito Refuge of Goddess una volta.</t>
  </si>
  <si>
    <t>Bonus Salute: 18.90% | Effetto Cura Ricevuta: 6.00%</t>
  </si>
  <si>
    <t>SCHEDA PERSONAGGIO: Shiryû (Drago Divino)</t>
  </si>
  <si>
    <t>Bonus Attacco: 7.50% | Fermezza: 132.0 | Bonus Difesa: 16.50%</t>
  </si>
  <si>
    <t>Bonus Difesa: 26.40% | Velocità Attacco: 7.50% | Effetto Cura Ricevuta: 3.90%</t>
  </si>
  <si>
    <t>Shiryû (Drago Divino)</t>
  </si>
  <si>
    <t>Drago Divino</t>
  </si>
  <si>
    <t>2023-08-09</t>
  </si>
  <si>
    <t>617773 / 652793</t>
  </si>
  <si>
    <t>35280 / 55477</t>
  </si>
  <si>
    <t>Rozan Hakuryuha (Arcano)</t>
  </si>
  <si>
    <t>Lv 1: Passiva: DIF di tutti gli altri personaggi ridotta del 40%. Attivo: respinge tutti e infligge 230% ATT. Per 10s l'effetto passivo è raddoppiato. Lv 2: DAN 260% ATT. Lv 3: DAN 290% ATT. Inizio: 1.250s | Fine: 2.20s | Cosmos DANNO: 85</t>
  </si>
  <si>
    <t>Rozan RyuhiSho (Ciclo)</t>
  </si>
  <si>
    <t>Lv 1: Scatta contro fila anteriore nemica (8% PS massimi, max 500% ATT di Shiryu). Lv 2: 10% PS massimi. Lv 3: 12% PS massimi. Lv 4: Per ogni 1% DIF ridotta del bersaglio, DAN totale +2% (max 200%). Inizio: 0.800s | Fine: 2.00s | Ritardo: 4.80s | Ricarica: 12.00s | Cosmos ATT: 1344 | Cosmos DANNO: 276</t>
  </si>
  <si>
    <t>Anima del Drago (Ciclo)</t>
  </si>
  <si>
    <t>Lv 1: Immune a qualunque DAN per 4s (non disperdibile). Lv 2: Durata 5s. Lv 3: Durata 6s. Inizio: 0.733s | Fine: 1.60s | Ritardo: 2.90s | Ricarica: 15.00s | Cosmos ATT: 895</t>
  </si>
  <si>
    <t>Marchio del Drago (Passivo)</t>
  </si>
  <si>
    <t>Lv 1: Bersagli colpiti da abilità ricevono [marchio del drago] (per 2s possono infliggere DAN solo a Shiryu). Lv 2: Durata 2.5s. Lv 3: Durata 3s.</t>
  </si>
  <si>
    <t>Dragon God Cloth [Shiryu - Esclusivo]</t>
  </si>
  <si>
    <t>Rozan RyuhiSho attiva sanguisuga 50%.</t>
  </si>
  <si>
    <t>Rozan RyuhiSho attiva sanguisuga 100%.</t>
  </si>
  <si>
    <t>Marchio del Drago esteso di 1.5s.</t>
  </si>
  <si>
    <t>Perdendo cumulativamente 90% PS max, attiva automaticamente Anima del Drago, +60% vel. ATT e +30 velocità permanentemente (1 sola volta).</t>
  </si>
  <si>
    <t>Bonus Salute: 18% | Bonus ATT: 15% | Bonus DIF: 21% | Tenacia: 120</t>
  </si>
  <si>
    <t>Se in fila anteriore, quando lui o un compagno anteriore infligge DAN, DIF del bersaglio ridotta del 30% per 5s (non cumulabile).</t>
  </si>
  <si>
    <t>Se in fila anteriore, Anima del Drago ha effetto anche su un altro alleato nella fila anteriore.</t>
  </si>
  <si>
    <t>SCHEDA PERSONAGGIO: Shun (Andromeda Divino)</t>
  </si>
  <si>
    <t>Shun (Andromeda Divino)</t>
  </si>
  <si>
    <t>Andromeda Divino</t>
  </si>
  <si>
    <t>2023-09-13</t>
  </si>
  <si>
    <t>554959 / 652793</t>
  </si>
  <si>
    <t>39975 / 55477</t>
  </si>
  <si>
    <t>10381 / 11384</t>
  </si>
  <si>
    <t>Nebula Storm (Arcano)</t>
  </si>
  <si>
    <t>Lv 1: Purifica debuff alleati e aumenta accelerazione di tutti di 75 punti per 8s. Lv 2: Immunità a controllo tranne interruzione per 5s. Lv 3: Durata accelerazione 10s. Inizio: 1.300s | Fine: 3.10s</t>
  </si>
  <si>
    <t>Thunder Wave (Ciclo)</t>
  </si>
  <si>
    <t>Lv 1: Attacca 2 nemici anteriori con catene (240% ATT, in schivabile). Lv 2: Converte DAN in 2 scudi per sé e un alleato (6s). Lv 3: Sottrae 1000 cosmo ai bersagli e lo divide. Lv 4: DAN 270% ATT. Inizio: 0.330s | Fine: 1.20s | Ritardo: 4.80s | Ricarica: 11.00s | Cosmos ATT: 1580 | Cosmos DANNO: 424</t>
  </si>
  <si>
    <t>Difesa e Attacco (Innesco)</t>
  </si>
  <si>
    <t>Lv 1: Se 3 nemici hanno stesso buff, lo disperde (intervallo 5s); se 3 alleati hanno stesso debuff, lo purifica (intervallo 5s). Lv 2: Intervallo 4s. Lv 3: Intervallo 3s.</t>
  </si>
  <si>
    <t>Rolling Defense (Passivo)</t>
  </si>
  <si>
    <t>Lv 1: Subendo DAN riduce DAN del 45%, contrattacca (200% ATT) e applica shock elettrico (DAN subiti +25%, rischio rigidità) per 4s (intervallo 4s). Lv 2: Riduce DAN del 60%. Lv 3: Riduce DAN del 75%.</t>
  </si>
  <si>
    <t>Andromeda God Cloth [Shun - Esclusivo]</t>
  </si>
  <si>
    <t>Contrattacco di Rolling Defense disperde tutti i buff del bersaglio.</t>
  </si>
  <si>
    <t>Intervallo Rolling Defense ridotto di 1.5s, danno contrattacco 300% ATT.</t>
  </si>
  <si>
    <t>Purificando un alleato con debuff, Shun si cura del 5% PS max per debuff (max 25%).</t>
  </si>
  <si>
    <t>Disperdendo un buff nemico, applica stordimento di 0.5s per buff (max 2.5s).</t>
  </si>
  <si>
    <t>Bonus Salute: 15% | Bonus ATT: 18% | Bonus DIF: 9% | Accelerazione: 120</t>
  </si>
  <si>
    <t>DAN di Thunder Wave diventa DAN reale.</t>
  </si>
  <si>
    <t>Scudo di Thunder Wave ha un aumento extra equivalente al 100% del cosmo assorbito.</t>
  </si>
  <si>
    <t>Bonus Salute: 12.00% | Fermezza: 132.0 | Bonus Difesa: 16.20%</t>
  </si>
  <si>
    <t>Bonus Difesa: 26.40% | Schivata: 96.0 | Velocità Attacco: 5.40%</t>
  </si>
  <si>
    <t>SCHEDA PERSONAGGIO: Shaka Arayashiki (Vergine)</t>
  </si>
  <si>
    <t>Shaka Arayashiki (Vergine)</t>
  </si>
  <si>
    <t>SCHEDA PERSONAGGIO: Hyôga (Armatura del Cigno Divino)</t>
  </si>
  <si>
    <t>2023-10-25</t>
  </si>
  <si>
    <t>434856 / 652793</t>
  </si>
  <si>
    <t>50513 / 55477</t>
  </si>
  <si>
    <t>8711 / 11384</t>
  </si>
  <si>
    <t>Hyôga (Armatura del Cigno Divino)</t>
  </si>
  <si>
    <t>Armatura del Cigno Divino</t>
  </si>
  <si>
    <t>Risveglio Arayashiki (Arcano)</t>
  </si>
  <si>
    <t>Lv 1: Scudo (35% PS max) per 5s, immune a controllo, carica ATT (+12%/sec) e cosmo (+1200/sec). Se distrutto completa carica in anticipo. Attivo: DAN 200% ATT + danni reali pari al 50% della differenza di ATT. Lv 2: DAN 220% ATT + 75% differenza ATT. Lv 3: DAN 240% ATT + 100% differenza ATT. Inizio: 0.600s | Fine: 1.97s | Cosmos DANNO: 346</t>
  </si>
  <si>
    <t>Palmo di Buddha (Ciclo)</t>
  </si>
  <si>
    <t>Lv 1: Sottomette nemico con ATT più alto per 6s (DAN inefficaci, perde 4% PS max al sec, max 500% ATT di Shaka). Lv 2: Perde 5% PS max. Lv 3: Perde 6% PS max. Lv 4: Perde 7% PS max. Inizio: 0.600s | Fine: 1.87s | Ritardo: 3.30s | Ricarica: 11.00s | Cosmos ATT: 1148 | Cosmos DANNO: 420</t>
  </si>
  <si>
    <t>Rikudo Rinne (Ciclo)</t>
  </si>
  <si>
    <t>Lv 1: Dimensione Rikudo Rinne per 6s (perdita 4% PS max/sec, cure ridotte 50%, cosmo max +5000, ATT -30%, DIF -40%, ecc.). Lv 2: Ogni mondo attivato dà ATT +8% permanente. Lv 3: ATT +12% permanente. Inizio: 1.366s | Fine: 2.47s | Ritardo: 4.90s | Ricarica: 14.00s | Cosmos ATT: 1418 | Cosmos DANNO: 420</t>
  </si>
  <si>
    <t>2023-09-27</t>
  </si>
  <si>
    <t>Khan (Innesco)</t>
  </si>
  <si>
    <t>407773 / 652793</t>
  </si>
  <si>
    <t>Lv 1: Subendo ATT da chi ha ATT inferiore, subisce solo l'80% del DAN. Lv 2: Solo il 70% del DAN. Lv 3: Solo il 50% del DAN.</t>
  </si>
  <si>
    <t>7948 / 11384</t>
  </si>
  <si>
    <t>Vergine Gold Cloth [Shaka Arayashiki - Esclusivo]</t>
  </si>
  <si>
    <t>Aurora Execution (Arcano)</t>
  </si>
  <si>
    <t>All'inizio ottiene scudo del 50% della salute massima.</t>
  </si>
  <si>
    <t>Lv 1: Colpisce 3 nemici (300% ATT) e causa [Congelamento Assoluto] per 3s (non disperdibile da benedizioni, interrompe abilità passive/aura/attivazione, no buff). Lv 2: DAN 330% ATT. Lv 3: Congelamento assoluto 4s. Inizio: 1.433s | Fine: 2.70s | Cosmos DANNO: 685</t>
  </si>
  <si>
    <t>Diamond Dust (Ciclo)</t>
  </si>
  <si>
    <t>Durante l'accumulo di Risveglio Arayashiki, guadagna permanentemente +10% DIF ogni secondo.</t>
  </si>
  <si>
    <t>Lv 1: Attacca tutti (130% ATT), causa 10 punti di rallentamento e riduce vel. ATT del 10% per 6s. Lv 2: DAN 160% ATT. Lv 3: Se bersaglio è congelato, DAN raddoppiato. Lv 4: Se congelato, rallentamento e riduzione vel. ATT raddoppiati. Inizio: 0.633s | Fine: 1.80s | Ritardo: 4.00s | Ricarica: 13.50s | Cosmos ATT: 634 | Cosmos DANNO: 757</t>
  </si>
  <si>
    <t>Aria allo Zero Assoluto (Passivo)</t>
  </si>
  <si>
    <t>Nel mondo di Rikudo Rinne, gli attacchi ignorano DIF e rid. DAN.</t>
  </si>
  <si>
    <t>Lv 1: Lanciando abilità ottiene [Corpo Gelido] per 6s (-50% durata controlli/debuff). Lv 2: In stato Corpo Gelido riduce DAN subiti del 25%. Lv 3: Durata controlli ridotta del 75%, DAN subiti ridotti del 50%.</t>
  </si>
  <si>
    <t>Mondo Congelato (Innesco)</t>
  </si>
  <si>
    <t>Nel mondo di Rikudo Rinne, le abilità passive ed effetti nemici diventano inefficaci.</t>
  </si>
  <si>
    <t>Lv 1: Nemici congelati non recuperano salute e subiscono DAN ogni 0.1s pari al 6% dell'ATT di Hyoga (ignora DIF e rid. DAN). Lv 2: 7% dell'ATT. Lv 3: 8% dell'ATT.</t>
  </si>
  <si>
    <t>Bonus Salute: 15% | Bonus ATT: 18% | Bonus DIF: 18% | Critico: 120</t>
  </si>
  <si>
    <t>Cignus God Cloth [Hyoga - Esclusivo]</t>
  </si>
  <si>
    <t>Bersaglio in Palmo di Buddha non può recuperare salute e la DIF si riduce a 0.</t>
  </si>
  <si>
    <t>Ricarica Diamond Dust ridotta del 25% (ulteriore 25% se bersaglio congelato).</t>
  </si>
  <si>
    <t>Danni e PS persi del bersaglio in Palmo di Buddha curano Shaka, i danni subiti da Shaka si riducono del 50%.</t>
  </si>
  <si>
    <t>Effetti di rallentamento e riduzione vel. ATT di Diamond Dust applicati anche a Hyoga per 6s.</t>
  </si>
  <si>
    <t>Corpo Gelido applicato a tutto il party (durata ridotta del 50%).</t>
  </si>
  <si>
    <t>Quando i nemici attaccano un Saint con Corpo Gelido, probabilità del 60% di subire congelamento per 2s.</t>
  </si>
  <si>
    <t>Bonus Attacco: 7.50% | Critico: 96.0 | Bonus Difesa: 16.20%</t>
  </si>
  <si>
    <t>Bonus Salute: 15% | Bonus ATT: 18% | Bonus DIF: 18% | Sanguisuga: 60</t>
  </si>
  <si>
    <t>SCHEDA PERSONAGGIO: Aiolia (Armatura del Leone Divino)</t>
  </si>
  <si>
    <t>Mondo Congelato infligge 35% DAN extra.</t>
  </si>
  <si>
    <t>Immune a qualunque congelamento; in battaglia i congelamenti non possono essere dispersi.</t>
  </si>
  <si>
    <t>Aiolia (Armatura del Leone Divino)</t>
  </si>
  <si>
    <t>Armatura del Leone Divino</t>
  </si>
  <si>
    <t>2024-01-17</t>
  </si>
  <si>
    <t>8109 / 11384</t>
  </si>
  <si>
    <t>Lightning Plasma - God (Arcano)</t>
  </si>
  <si>
    <t>Lv 1: Attacca bersagli casuali 15~20 volte (70% ATT ciascuno). Lv 2: Se colpisce più volte lo stesso nemico, riduce la ricarica di Lightning Bolt - God di 1s per colpo. Lv 3: DAN 100% ATT ogni colpo. Inizio: 0.600s | Fine: 2.09s | Cosmos DANNO: 268</t>
  </si>
  <si>
    <t>Lightning Bolt - God (Ciclo)</t>
  </si>
  <si>
    <t>Lv 1: Attacca bersagli casuali 5 volte (60% ATT). Lv 2: Se colpisce più volte lo stesso nemico, recupera 400 cosmo extra a colpo. Lv 3: DAN 90% ATT. Lv 4: Recupera 600 cosmo extra a colpo. Inizio: 0.366s | Fine: 1.70s | Ritardo: 4.10s | Ricarica: 12.50s | Cosmos ATT: 1660 | Cosmos DANNO: 268</t>
  </si>
  <si>
    <t>Lightning Fang Assault (Innesco)</t>
  </si>
  <si>
    <t>Lv 1: Subendo controllo lo rimuove e lancia 3 assalti (150% ATT ciascuno, converte 100% in cura, non prendibile di mira, intervallo 3s). Lv 2: Ottiene 3s di [benedizione]. Lv 3: DAN 200% ATT per assalto.</t>
  </si>
  <si>
    <t>Incarnation of Thunder (Passivo)</t>
  </si>
  <si>
    <t>Lv 1: Vel. ATT +60% permanente. Ogni attacco ha 30% probabilità di applicare [marchio del fulmine] (max 3 liv, dura 6s, DAN extra basato su PS max). Lv 2: A liv 3 causa rigidità per 3s. Lv 3: Durata 8s, non disperdibile.</t>
  </si>
  <si>
    <t>Leone God Cloth [Aiolia - Esclusivo]</t>
  </si>
  <si>
    <t>Probabilità Marchio del Fulmine 45%.</t>
  </si>
  <si>
    <t>Probabilità Marchio del Fulmine 60%.</t>
  </si>
  <si>
    <t>Infliggendo DAN con attacchi (no tecnica segreta) recupera 200 cosmo.</t>
  </si>
  <si>
    <t>Recupera 400 cosmo infliggendo DAN con attacchi (no tecnica segreta).</t>
  </si>
  <si>
    <t>Bonus Salute: 18% | Bonus ATT: 18% | Bonus DIF: 15% | Sanguisuga: 60</t>
  </si>
  <si>
    <t>Tutti gli attacchi ignorano 50% DIF e ottengono +0.5% bonus DAN per colpo (max 50%).</t>
  </si>
  <si>
    <t>Tutti gli attacchi ignorano 100% DIF e ottengono +1% bonus DAN per colpo (max 100%).</t>
  </si>
  <si>
    <t>SCHEDA PERSONAGGIO: Ikki (Armatura Divina della Fenice)</t>
  </si>
  <si>
    <t>Ikki (Armatura Divina della Fenice)</t>
  </si>
  <si>
    <t>Armatura Divina della Fenice</t>
  </si>
  <si>
    <t>2023-12-20</t>
  </si>
  <si>
    <t>404957 / 652793</t>
  </si>
  <si>
    <t>54262 / 55477</t>
  </si>
  <si>
    <t>7570 / 11384</t>
  </si>
  <si>
    <t>Hoyoku Tensho (Arcano)</t>
  </si>
  <si>
    <t>Lv 1: 3 attacchi a tutti (320% ATT totale), applica 1 livello di [Fiamme della Fenice] a colpo (brucia 150 cosmo/sec e 1.5% PS attuali, max 10 liv, cumulabile). Lv 2: DAN totale 360% ATT. Lv 3: Ogni colpo critico applica 1 livello extra. Inizio: 0.634s | Fine: 2.10s | Cosmos DANNO: 248</t>
  </si>
  <si>
    <t>Phoenix Genmaken (Ciclo)</t>
  </si>
  <si>
    <t>Lv 1: Attacca 3 nemici (240% ATT); causa [allucinazione interminabile] per 4s ai nemici con cosmo inferiore a Ikki (no recupero cosmo, ricariche cicliche sospese, no cure). Lv 2: Se rimossa prematuramente, infligge di nuovo il DAN. Lv 3: Durata 5s. Lv 4: Prob. crit +50% contro bersagli in allucinazione. Inizio: 0.333s | Fine: 1.07s | Ritardo: 3.90s | Ricarica: 12.50s | Cosmos ATT: 1740 | Cosmos DANNO: 346</t>
  </si>
  <si>
    <t>Aura Terrificante (Apertura)</t>
  </si>
  <si>
    <t>Lv 1: ATT di tutti i nemici si riduce a 0 per 3s, poi si ripristina gradualmente in 3s. Lv 2: Ripristino in 4s. Lv 3: Ripristino in 5s. Inizio: 0.001s | Fine: 0.01s | Ordine d'azione: 10</t>
  </si>
  <si>
    <t>Leggenda della Fenice (Innesco)</t>
  </si>
  <si>
    <t>Lv 1: Morendo entra in [rinascita della fenice] (immune a tutto, infligge 100% ATT ogni 1.5s, recupera 20% PS max/sec fino a rinascere al 100%). Lv 2: Recupera 25% PS max/sec. Lv 3: Riduzione massima velocità recupero ridotta a 30%.</t>
  </si>
  <si>
    <t>Phoenix God Cloth [Ikki - Esclusivo]</t>
  </si>
  <si>
    <t>Ogni livello di Fiamme della Fenice riduce cura del bersaglio del 20%.</t>
  </si>
  <si>
    <t>Scomparendo un livello di Fiamme, subisce DAN (100% ATT) e stordimento per 0.5s.</t>
  </si>
  <si>
    <t>Dopo la resurrezione attiva di nuovo Aura Terrificante e +50% ATT.</t>
  </si>
  <si>
    <t>Resuscitando assorbe tutte le Fiamme della Fenice dei nemici e recupera 500 cosmo per livello assorbito.</t>
  </si>
  <si>
    <t>Bonus Salute: 12% | Bonus ATT: 18% | Bonus DIF: 12% | Accelerazione: 30</t>
  </si>
  <si>
    <t>Immune a congelamento e bruciatura.</t>
  </si>
  <si>
    <t>Tutte le bruciature nemiche sono convertite in Fiamme della Fenice.</t>
  </si>
  <si>
    <t>SCHEDA PERSONAGGIO: Odysseus (Ophiuchus)</t>
  </si>
  <si>
    <t>Bonus Difesa: 26.40% | Precisione: 108.0 | Critico: 72.0</t>
  </si>
  <si>
    <t>SCHEDA PERSONAGGIO: Dohko (Armatura Divina della Bilancia)</t>
  </si>
  <si>
    <t>Odysseus (Ophiuchus)</t>
  </si>
  <si>
    <t>ALL + Atena</t>
  </si>
  <si>
    <t>Dohko (Armatura Divina della Bilancia)</t>
  </si>
  <si>
    <t>2024-07-10</t>
  </si>
  <si>
    <t>454407 / 652793</t>
  </si>
  <si>
    <t>Armatura Divina della Bilancia</t>
  </si>
  <si>
    <t>8920 / 11384</t>
  </si>
  <si>
    <t>2024-07-31</t>
  </si>
  <si>
    <t>606177 / 652793</t>
  </si>
  <si>
    <t>35684 / 55477</t>
  </si>
  <si>
    <t>Terapia dell’Ipnosi (Arcano)</t>
  </si>
  <si>
    <t>Lv 1: Inizio battaglia: compare casa perduta di Ophiuchus (cura tutti di 50% ATT/sec). Attivo: entra in Regno Onirico per 4s (cura 50% ATT/sec, immunità a DAN). Lv 2: Cura attiva 100% ATT/sec. Lv 3: Cura attiva +50%. Inizio: 0.734s | Fine: 3.03s</t>
  </si>
  <si>
    <t>Operazione Chirurgica (Ciclo)</t>
  </si>
  <si>
    <t>Lv 1: Attacco normale cura il compagno con % PS più bassa. Attivo: cura 2 Saint alleati (280% ATT), purifica controlli (priorità a chi è controllato). Lv 2: Cura 330% ATT. Lv 3: Riduce ricarica di 1 abilità ciclica di 3s. Lv 4: Riduce ricarica di 2 abilità cicliche di 3s. Inizio: 0.400s | Fine: 1.23s | Ritardo: 6.50s | Ricarica: 12.50s | Cosmos ATT: 1140</t>
  </si>
  <si>
    <t>1099 / 1160</t>
  </si>
  <si>
    <t>Sangue d'Oro (Ciclo)</t>
  </si>
  <si>
    <t>Lv 1: Cura alleato con PS più bassi (distribuisce PS tra bersaglio e Odysseus), purifica debuff e per 3s recupera 10% PS max/sec. Lv 2: 12% PS max/sec. Lv 3: 14% PS max/sec. Inizio: 0.634s | Fine: 1.97s | Ritardo: 5.60s | Ricarica: 10.50s | Cosmos ATT: 966</t>
  </si>
  <si>
    <t>187 / 197</t>
  </si>
  <si>
    <t>Vecchia Ferita Recidiva (Ciclo)</t>
  </si>
  <si>
    <t>Lv 1: Punisce 1 nemico con PS più alti, recupera tutta la cura offerta e infligge DAN reale pari alla cura (max 800% ATT), annulla passive per 1s. Lv 2: Odysseus subendo attacchi riduce ricarica di 0.5s. Lv 3: Riduce ricarica di 1s. Inizio: 0.466s | Fine: 1.33s | Ritardo: 3.10s | Ricarica: 15.00s | Cosmos ATT: 1086 | Cosmos DANNO: 600</t>
  </si>
  <si>
    <t>Rozan Hakuryuha - God (Arcano)</t>
  </si>
  <si>
    <t>Lv 1: Innumerevoli draghi su tutti (200% ATT), il primo colpo atterra i nemici per 1s. Lv 2: DAN 230% ATT. Lv 3: Atterramento 2s. Inizio: 2.100s | Fine: 2.93s</t>
  </si>
  <si>
    <t>Odysseus di Ophiuchus [Odysseus - Esclusivo]</t>
  </si>
  <si>
    <t>Rozan RyuhiSho - God (Ciclo)</t>
  </si>
  <si>
    <t>Lv 1: Drago dorato attacca 3 nemici (200% ATT). Lv 2: Ottiene [dominazione] per 5s (immune interruzioni/controlli, DAN subiti +25%). Lv 3: Aumenta ricarica cicliche nemiche di 2s. Lv 4: Aumenta ricarica cicliche nemiche di 3s. Inizio: 0.400s | Fine: 1.00s | Ritardo: 4.40s | Ricarica: 10.00s | Cosmos ATT: 1440 | Cosmos DANNO: 268</t>
  </si>
  <si>
    <t>Anima di Rozan (Apertura)</t>
  </si>
  <si>
    <t>Lv 1: Ogni 5s fa recuperare 2500 cosmo all'alleato con cosmo più basso e dà 2.5s immunità DAN (max 5 volte). Lv 2: Recupera anche 25% PS max extra. Lv 3: ATT e sanguisuga +25% per 5s. Inizio: 0.001s | Fine: 0.01s | Ordine d'azione: 10</t>
  </si>
  <si>
    <t>Subendo controllo la prima volta, purifica tutti i debuff e recupera 1500 cosmo.</t>
  </si>
  <si>
    <t>Determinazione Irremovibile (Innesco)</t>
  </si>
  <si>
    <t>Recupera 3000 cosmo.</t>
  </si>
  <si>
    <t>Lv 1: Ricevendo debuff, applica scudo a tutti gli alleati (15% PS max di Dohko) per 5s (intervallo 6s). Lv 2: Intervallo 5s. Lv 3: Intervallo 4s.</t>
  </si>
  <si>
    <t>Effetto sonno di Ipnosi ignora immunità, bersaglio perde 500 cosmo/sec.</t>
  </si>
  <si>
    <t>Lanciando abilità ciclica, accorcia di 2s le altre abilità cicliche e ottiene 2s immunità DAN.</t>
  </si>
  <si>
    <t>Bonus Salute: 18% | Bonus ATT: 18% | Bonus DIF: 15% | Accelerazione: 30</t>
  </si>
  <si>
    <t>Dhoko God Cloth [Dohko - Esclusivo]</t>
  </si>
  <si>
    <t>SCHEDA PERSONAGGIO: Artémis (Dea della Luna)</t>
  </si>
  <si>
    <t>Valore scudo Determinazione Irremovibile sale al 20% PS max.</t>
  </si>
  <si>
    <t>Lanciando Determinazione Irremovibile recupera 1500 cosmo.</t>
  </si>
  <si>
    <t>Atterramento di Rozan Hakuryuha sale a 3s.</t>
  </si>
  <si>
    <t>Bersaglio atterrato riceve +50% DAN extra e le abilità passive vengono temporaneamente annullate.</t>
  </si>
  <si>
    <t>Odysseus è immune a tutti gli effetti di interruzione (aria, atterramento, respinta).</t>
  </si>
  <si>
    <t>Vecchia Ferita Recidiva trasforma tutta la cura ricevuta dal nemico in DAN nei successivi 4s e sceglie bersaglio extra.</t>
  </si>
  <si>
    <t>Bonus Salute: 21% | Bonus ATT: 15% | Bonus DIF: 18% | Tenacia: 120</t>
  </si>
  <si>
    <t>Artémis (Dea della Luna)</t>
  </si>
  <si>
    <t>Quando Anima di Rozan cura, Dohko recupera a sua volta 15% PS max e 15% cosmo.</t>
  </si>
  <si>
    <t>Intervallo Anima di Rozan ridotto a 4s (attivabile fino a 9 volte).</t>
  </si>
  <si>
    <t>Dea della Luna</t>
  </si>
  <si>
    <t>Bonus Difesa: 26.40% | Velocità Attacco: 7.50% | Precisione: 72.0</t>
  </si>
  <si>
    <t>2024-12-18</t>
  </si>
  <si>
    <t>412068 / 652793</t>
  </si>
  <si>
    <t>7705 / 11384</t>
  </si>
  <si>
    <t>Splendore della Dea della Luna (Arcano)</t>
  </si>
  <si>
    <t>Lv 1: Splendore lunare su tutti (200% ATT). Lv 2: Aggiunge [luce lunare]; se già presente, interrompe azione e blocca cosmo per 3s. Lv 3: DAN 240% ATT, immunità a DAN durante tecnica. Inizio: 1.433s | Fine: 2.33s | Cosmos DANNO: 360</t>
  </si>
  <si>
    <t>Punizione della Dea (Ciclo)</t>
  </si>
  <si>
    <t>Lv 1: Punisce tutti i nemici (130% ATT) e disperde 1 buff casuale. Lv 2: Aggiunge [luce lunare] se ha successo. Lv 3: DAN 200% ATT se marchiato. Lv 4: Respinge per 1.5s se marchiato. Inizio: 0.833s | Fine: 1.77s | Ritardo: 4.30s | Ricarica: 10.00s | Cosmos ATT: 1490 | Cosmos DANNO: 268</t>
  </si>
  <si>
    <t>Castigo della Dea (Passivo)</t>
  </si>
  <si>
    <t>Lv 1: Ogni 2.5s applica [luce lunare] (max 2 liv). Per ogni livello ignora 25% DIF. Lv 2: Ogni livello aumenta DAN del 15%. Lv 3: Ogni livello aumenta prob. sanguisuga del 10%.</t>
  </si>
  <si>
    <t>Dominio della Luna (Apertura)</t>
  </si>
  <si>
    <t>Lv 1: [Luna Nuova] - riduce accelerazione nemici di 15 e cure ricevute del 30% permanentemente. Lv 2: [Luna Crescente] - vel. ATT nemici -30%, annulla bonus DAN. Lv 3: [Luna Piena] - DAN subiti nemici +15%, annulla riduzioni DAN.</t>
  </si>
  <si>
    <t>Bastone di Artemis [Artemis - Esclusivo]</t>
  </si>
  <si>
    <t>Disperdendo un buff, ricarica ridotta del 10%.</t>
  </si>
  <si>
    <t>Splendore su nemico con luce lunare infligge 100% DAN reale.</t>
  </si>
  <si>
    <t>Per ogni livello di luce lunare in campo, recupera 200 cosmo extra al secondo.</t>
  </si>
  <si>
    <t>Attacco base colpisce i marchiati; per ogni livello di luce lunare vel. ATT +15%.</t>
  </si>
  <si>
    <t>Il marchio [luce lunare] si accumula fino al livello 3.</t>
  </si>
  <si>
    <t>Per ogni marchio [luce lunare] in campo, i valori degli effetti di Dominio della Luna aumentano del 50%.</t>
  </si>
  <si>
    <t>Bonus Salute: 12.00% | Precisione: 108.0 | Velocità Attacco: 3.60%</t>
  </si>
  <si>
    <t>SCHEDA PERSONAGGIO: Toma (Angelo Caduto con le Ali Spezzate)</t>
  </si>
  <si>
    <t>Toma (Angelo Caduto con le Ali Spezzate)</t>
  </si>
  <si>
    <t>Angelo Caduto con le Ali Spezzate</t>
  </si>
  <si>
    <t>2025-01-08</t>
  </si>
  <si>
    <t>404720 / 652793</t>
  </si>
  <si>
    <t>52461 / 55477</t>
  </si>
  <si>
    <t>7229 / 11384</t>
  </si>
  <si>
    <t>SCHEDA PERSONAGGIO: Shijima (Vergine)</t>
  </si>
  <si>
    <t>Punhos de Anjo (Arcano)</t>
  </si>
  <si>
    <t>Lv 1: Innalza sopra il campo (non prendibile di mira), rilascia 1 penna su tutti e scende in picchiata sul nemico con PS più alti (400% ATT, atterra 2.5s). Tremito al campo infligge 200% ATT agli altri e li respinge per 1.5s. Penna: max 10 per nemico, quando usano abilità ciclica la penna emette luce interrompendo il bersaglio e infliggendo DAN pari a 4% PS attuali. Lv 2: +8% DAN segreta per penna (max 40%). Lv 3: +12% DAN segreta per penna (max 60%). Inizio: 0.933s | Fine: 2.87s | Cosmos DANNO: 120</t>
  </si>
  <si>
    <t>Ataque de Anjo (Ciclo)</t>
  </si>
  <si>
    <t>Lv 1: 3 attacchi normali veloci (150% ATT ciascuno, non prendibile di mira durante l'esecuzione). Lv 2: Se cosmo &lt; 50%, colpo sicuro critico. Lv 3: Se cosmo avversario &gt; 50%, colpo sicuro critico. Lv 4: Se critico, stordisce per 2s. Inizio: 0.633s | Fine: 3.00s | Ritardo: 4.30s | Ricarica: 10.50s | Cosmos ATT: 3012 | Cosmos DANNO: 268</t>
  </si>
  <si>
    <t>Técnica Física do Anjo (Passivo)</t>
  </si>
  <si>
    <t>Lv 1: Ogni 4s ottiene 1 livello di tecnica fisica (+6% Vel. ATT per livello, max 10 liv). Lv 2: +4% bonus DAN per livello. Lv 3: +1% bonus DAN per livello.</t>
  </si>
  <si>
    <t>Asas do Anjo Caído (Innesco)</t>
  </si>
  <si>
    <t>Shijima (Vergine)</t>
  </si>
  <si>
    <t>Lv 1: Attacco base ha 50% probabilità di lasciare una penna su un nemico posteriore (intervallo 1.5s). DAN singolo ricevuto non può superare 50% PS max. Lv 2: DAN max 40% PS. Lv 3: DAN max 30% PS.</t>
  </si>
  <si>
    <t>Glory di Sleep Angel [Toma - Esclusivo]</t>
  </si>
  <si>
    <t>2025-05-15</t>
  </si>
  <si>
    <t>Tecnica Fisica aumenta: ogni 3s ottiene 1 livello.</t>
  </si>
  <si>
    <t>Con PS &lt; 50%, ottiene 1 livello di tecnica fisica extra ogni 3s.</t>
  </si>
  <si>
    <t>SCHEDA PERSONAGGIO: Aldébaran (Toro in Armatura Divina)</t>
  </si>
  <si>
    <t>Penna infligge 5% PS attuali e silenzio per 3s.</t>
  </si>
  <si>
    <t>Penna infligge DAN reale pari a 5% PS attuali.</t>
  </si>
  <si>
    <t>Bonus Salute: 15% | Bonus ATT: 15% | Bonus DIF: 15% | Accelerazione: 30</t>
  </si>
  <si>
    <t>Quattro Portali del Buddha (Arcano)</t>
  </si>
  <si>
    <t>Intervallo Ala dell'Angelo Caduto si riduce a 1s, ogni livello di tecnica fisica aumenta la probabilità di attivazione del 5%.</t>
  </si>
  <si>
    <t>Lv 1: Imprigiona tutti nella dimensione dei 4 portali (Rinascita, Vecchiaia, Malattia, Morte) per 8s. Rinascita: distribuisce PS e +35% cure; Vecchiaia: porta PS al 50% e -35% cure; Malattia: toglie 50% PS attuali e -35% vel. ATT; Morte: toglie 35% PS massimi, solo attacchi normali. Lv 2: Rinascita/Vecchiaia potenziate (+35% DAN subiti / -35% ATT). Lv 3: Malattia/Morte potenziate (-35% cosmo / toglie 50% PS max). Inizio: 1.200s | Fine: 2.65s | Cosmos DANNO: 268</t>
  </si>
  <si>
    <t>DAN attacco base convertito in DAN reale; se critico, 75% probabilità di lasciare 1 penna (intervallo 1s).</t>
  </si>
  <si>
    <t>Tenbu Horin (Ciclo)</t>
  </si>
  <si>
    <t>Bonus Salute: 12.00% | Schivata: 96.0 | Bonus Difesa: 15.60%</t>
  </si>
  <si>
    <t>Lv 1: Sottrae 10% PS attuali di tutti e crea scudo (assorbe 35% DAN subiti dalla squadra) per 5s. Lv 2: Sottrae 15% PS. Lv 3: Sottrae 20% PS. Lv 4: 50% cure ricevute trasferite a Shijima. Inizio: 1.600s | Fine: 2.23s | Ritardo: 4.40s | Ricarica: 12.50s | Cosmos ATT: 1690 | Cosmos DANNO: 268</t>
  </si>
  <si>
    <t>Aldébaran (Toro in Armatura Divina)</t>
  </si>
  <si>
    <t>Tenma Koufuku (Apertura)</t>
  </si>
  <si>
    <t>Lv 1: Impedisce a tutti i nemici di recuperare cosmo per 2s all'inizio. Lv 2: Durata 2.5s. Lv 3: Durata 3s. Inizio: 1.100s | Fine: 1.77s | Ordine d'azione: 10</t>
  </si>
  <si>
    <t>Bonus Difesa: 26.40% | Precisione: 108.0 | Bonus Attacco: 3.60%</t>
  </si>
  <si>
    <t>Ungyo (Passivo)</t>
  </si>
  <si>
    <t>Lv 1: Immune a riduzione DIF. Se alleato subisce DAN singolo &gt; 20% PS max, applica scudo (20% PS max) per 5s e attacca la fonte (DAN reale 10% PS max), intervallo 3s. Lv 2: Intervallo 2s. Lv 3: Intervallo 1s.</t>
  </si>
  <si>
    <t>Toro in Armatura Divina</t>
  </si>
  <si>
    <t>Vergine Gold Cloth [Shijima - Esclusivo]</t>
  </si>
  <si>
    <t>Tenbu Horin sottrae a tutti i nemici il 10% del cosmo.</t>
  </si>
  <si>
    <t>2025-01-15</t>
  </si>
  <si>
    <t>Debuff dei Quattro Portali aumentati del 50%.</t>
  </si>
  <si>
    <t>635283 / 652793</t>
  </si>
  <si>
    <t>Ungyo non ha più intervallo minimo.</t>
  </si>
  <si>
    <t>SCHEDA PERSONAGGIO: Callisto (Ancella della Dea della Luna)</t>
  </si>
  <si>
    <t>Raggiunto il Portale della Morte, i lanci successivi attivano direttamente la Morte e annullano le passive nemiche.</t>
  </si>
  <si>
    <t>11193 / 11384</t>
  </si>
  <si>
    <t>Bonus Salute: 21% | Bonus ATT: 12% | Bonus DIF: 24% | Tenacia: 120</t>
  </si>
  <si>
    <t>Lanciando Tenma Koufuku, porta il tempo di ricarica delle abilità cicliche nemiche al massimo.</t>
  </si>
  <si>
    <t>Dopo 2s dall'inizio, lancia immediatamente Quattro Portali - Rinascita senza consumare cosmo.</t>
  </si>
  <si>
    <t>Callisto (Ancella della Dea della Luna)</t>
  </si>
  <si>
    <t>Great Horn - God (Arcano)</t>
  </si>
  <si>
    <t>Lv 1: Lancia Great Horn ogni 8s consumando tutto il cosmo, infligge a 3 nemici 150% ATT + 10% PS max di Aldebaran (+10% DAN ogni 1000 cosmo consumato). Lv 2: Atterra i bersagli per 2s. Lv 3: Atterra i bersagli per 3s. Inizio: 1.750s | Fine: 3.13s | Cosmos DANNO: 346</t>
  </si>
  <si>
    <t>Posizione Difensiva Iaito (Ciclo)</t>
  </si>
  <si>
    <t>Ancella della Dea della Luna</t>
  </si>
  <si>
    <t>Lv 1: Purifica debuff ed entra in [Posizione Difensiva Iaito] per 3s (immune controlli, provoca tutti i nemici ad attaccarlo con attacchi base). Lv 2: Recupero cosmo +100%. Lv 3: Durata 4s. Lv 4: Recupera 5% PS max ogni 0.5s. Inizio: 0.001s | Fine: 3.00s | Ritardo: 2.90s | Ricarica: 11.00s | Cosmos ATT: 1830 | Cosmos DANNO: 268</t>
  </si>
  <si>
    <t>Bonus Difesa: 26.40% | Schivata: 96.0 | Effetto Cura Ricevuta: 4.20%</t>
  </si>
  <si>
    <t>Corno della Battaglia (Apertura)</t>
  </si>
  <si>
    <t>Lv 1: Sceglie il nemico posteriore con DIF più bassa e lo sposta in posizione 1. Lv 2: Nemico entra in stato [fragile] (-35% DIF per 12s). Lv 3: Alleati attaccando il fragile ottengono +35% sanguisuga e prob. crit. Inizio: 0.700s | Fine: 1.63s | Ordine d'azione: 90</t>
  </si>
  <si>
    <t>Potenza del Toro (Passivo)</t>
  </si>
  <si>
    <t>Lv 1: Scudo iniziale pari a 50% PS max per 5s (recupera cosmo in base allo scudo residuo se non distrutto), poi ottiene 25% riflessione DAN permanente. Lv 2: Scudo 75% PS max. Lv 3: Riflessione DAN 35%.</t>
  </si>
  <si>
    <t>2025-03-27</t>
  </si>
  <si>
    <t>9247 / 11384</t>
  </si>
  <si>
    <t>Toro God Cloth [Aldebaran - Esclusivo]</t>
  </si>
  <si>
    <t>1044 / 1160</t>
  </si>
  <si>
    <t>Scudo iniziale sale al 100% PS max.</t>
  </si>
  <si>
    <t>Salvaguardia della Luna (Arcano)</t>
  </si>
  <si>
    <t>Bersagli bloccati non possono recuperare PS.</t>
  </si>
  <si>
    <t>Lv 1: Applica [favore] per 6s al Saint alleato con ATT più alto (cure/DAN calcolati a fine stato, accelerazione +50, ATT +50%). Priorità a Dea della Luna se presente. Lv 2: Cure ricevute durante favore +100%. Lv 3: Immune a danni continuativi (bruciatura, veleno, sanguinamento). Inizio: 0.800s | Fine: 2.00s</t>
  </si>
  <si>
    <t>Lucchetto della Punizione (Ciclo)</t>
  </si>
  <si>
    <t>Lv 1: Incatena il Saint nemico 1 al Saint posteriore con PS più bassi per 4s (70% DAN ricevuto trasferito tra loro). Lv 2: Trasferimento DAN 80%. Lv 3: Effetto cura ridotto del 35%. Lv 4: Durata 5s. Inizio: 0.800s | Fine: 1.73s | Ritardo: 4.10s | Ricarica: 12.00s | Cosmos ATT: 1610 | Cosmos DANNO: 424</t>
  </si>
  <si>
    <t>Favore Divino (Innesco)</t>
  </si>
  <si>
    <t>Lv 1: Se un alleato subisce controllo, riceve purificazione potente e scudo (15% PS) + [benedizione] per 3s (intervallo 8s). Lv 2: Riduce ricarica abilità cicliche di 3s per sé e bersaglio. Lv 3: Intervallo 6s.</t>
  </si>
  <si>
    <t>Protezione del Tempio (Passivo)</t>
  </si>
  <si>
    <t>Fragilità aumenta di 4s e non si può purificare.</t>
  </si>
  <si>
    <t>Lv 1: Attacchi normali/attivi applicano [luce lunare] (max 2 liv). Per ogni livello, il DAN inflitto a Callisto è ridotto del 15%. Lv 2: Velocità recupero cosmo nemica ridotta del 10% per ogni luce lunare. Lv 3: Riduzione cosmo 15%.</t>
  </si>
  <si>
    <t>Bastone di Callisto [Callisto - Esclusivo]</t>
  </si>
  <si>
    <t>Bersaglio di Great Horn atterrato ha DIF ridotta a 0; Great Horn azzera ricarica e lancia Posizione Difensiva Iaito.</t>
  </si>
  <si>
    <t>Bonus Salute: 24% | Bonus ATT: 12% | Bonus DIF: 21% | Tenacia: 120</t>
  </si>
  <si>
    <t>Personaggi incatenati ricevono cure ridotte del 50% e durata +2s.</t>
  </si>
  <si>
    <t>DAN trasferito sale al 100%.</t>
  </si>
  <si>
    <t>Per ogni luce lunare sui nemici, DAN subito da Callisto si riduce del 25%.</t>
  </si>
  <si>
    <t>Attacco base colpisce 1 nemico extra (priorità a chi ha minor luce lunare).</t>
  </si>
  <si>
    <t>Bonus Salute: 18% | Bonus ATT: 15% | Bonus DIF: 18% | Accelerazione: 30</t>
  </si>
  <si>
    <t>Durante Posizione Difensiva Iaito, ogni attacco normale nemico aumenta ricarica ciclica dell'attaccante di 2s.</t>
  </si>
  <si>
    <t>Durante Posizione Difensiva Iaito ottiene +35% riflessione DAN extra, immunità a debuff e interruzione, e non può morire.</t>
  </si>
  <si>
    <t>Salvaguardia della Luna purifica tutti i negativi; per ogni controllo disperso recupera 10% PS max.</t>
  </si>
  <si>
    <t>Benedizione non disperdibile, fa recuperare 1000 cosmo/sec al bersaglio e 500 a Callisto.</t>
  </si>
  <si>
    <t>Bonus Attacco: 7.50% | Effetto Cura: 6.00% | Bonus Difesa: 16.50%</t>
  </si>
  <si>
    <t>SCHEDA PERSONAGGIO: Camus (Acquario in Armatura Divina)</t>
  </si>
  <si>
    <t>Camus (Acquario in Armatura Divina)</t>
  </si>
  <si>
    <t>Acquario in Armatura Divina</t>
  </si>
  <si>
    <t>2025-06-12</t>
  </si>
  <si>
    <t>Aria congelante estrema (Arcano)</t>
  </si>
  <si>
    <t>Lv 1: Imprigiona il nemico con cosmo più alto per 4s (non agisce, subisce DAN reale pari a 8% PS max/sec, no cure). Lv 2: Si attiva su di sé se PS &lt; 50% (recupera 8% PS/sec, immune a DAN). Lv 3: Alla fine esplode infliggendo 200% ATT di Camus in DAN reali a tutti. Inizio: 0.600s | Fine: 2.00s | Cosmos DANNO: 600</t>
  </si>
  <si>
    <t>Aurora Execution - God (Ciclo)</t>
  </si>
  <si>
    <t>Lv 1: DAN 120% ATT a tutti i nemici e 3s di [gelo] (prob. crit e precisione -25%). Lv 2: I bersagli già in gelo subiscono [congelamento]. Lv 3: DAN 130% ATT. Lv 4: Prob. crit e precisione -30%. Inizio: 1.600s | Fine: 2.43s | Ritardo: 5.10s | Ricarica: 12.00s | Cosmos ATT: 1090 | Cosmos DANNO: 268</t>
  </si>
  <si>
    <t>Muro di Ghiaccio (Ciclo)</t>
  </si>
  <si>
    <t>Lv 1: Muro protettivo davanti agli alleati, riduce prob. crit subita del 50% per 5s (intervallo lancio 8s). Lv 2: Prob. crit subita ridotta del 60%. Lv 3: Prob. crit subita ridotta del 70%. Inizio: 0.900s | Fine: 1.77s | Ritardo: 4.00s | Ricarica: 8.00s | Cosmos DANNO: 600</t>
  </si>
  <si>
    <t>SCHEDA PERSONAGGIO: Shion (Ariete)</t>
  </si>
  <si>
    <t>Controllo del gelo (Passivo)</t>
  </si>
  <si>
    <t>Lv 1: Immune a riduzione cosmo, DAN subiti ridotti del 25%. Converte controlli alleati in [gelo] e controlli nemici in [assideramento] (intervallo 5s). Lv 2: Intervallo 4s. Lv 3: Intervallo 3s.</t>
  </si>
  <si>
    <t>Acquario God Cloth [Camus - Esclusivo]</t>
  </si>
  <si>
    <t>DAN e recupero PS di Aria congelante estrema salgono a 12% PS max.</t>
  </si>
  <si>
    <t>Aria congelante estrema si attiva a PS &lt; 65%.</t>
  </si>
  <si>
    <t>Shion (Ariete)</t>
  </si>
  <si>
    <t>Se un nemico ottiene stato di ghiaccio, Camus recupera 400 cosmo e +4 accelerazione (max 15 volte).</t>
  </si>
  <si>
    <t>Nemico in Aria congelante estrema ha passive/attivazioni annullate; Camus in Aria congelante estrema può agire normalmente.</t>
  </si>
  <si>
    <t>Ariete</t>
  </si>
  <si>
    <t>Bonus Salute: 18% | Bonus ATT: 18% | Bonus DIF: 15% | Precisione: 120</t>
  </si>
  <si>
    <t>Muro di Ghiaccio si attiva 1 volta all'inizio della battaglia.</t>
  </si>
  <si>
    <t>Nemici che attaccano protetti da Muro di Ghiaccio subiscono vel. ATT e accelerazione -30 e -30 pt per 3s.</t>
  </si>
  <si>
    <t>Bonus Attacco: 7.50% | Tenacia: 114.0 | Sanguisuga: 30.0</t>
  </si>
  <si>
    <t>2025-08-21</t>
  </si>
  <si>
    <t>Stardust Revolution (Arcano)</t>
  </si>
  <si>
    <t>Lv 1: Polvere di stelle su tutti i nemici (200% ATT) e [cecità] per 2s (attacchi falliscono). Lv 2: DAN 220% ATT. Lv 3: Nemici colpiti perdono 20% cosmo attuale. Inizio: 2.433s | Fine: 3.77s | Cosmos DANNO: 600</t>
  </si>
  <si>
    <t>Crystal Wall (Ciclo)</t>
  </si>
  <si>
    <t>Lv 1: Protezione Crystal Wall su tutti gli alleati (disperde negativi e dà immunità debuff per 3s). Lv 2: Scudo di cristallo (200% ATT) per 4s. Lv 3: Immunità debuff 4s. Lv 4: Se disperde 5 negativi uguali, ricarica -30%. Inizio: 0.966s | Fine: 2.07s | Ritardo: 3.50s | Ricarica: 11.00s | Cosmos ATT: 930</t>
  </si>
  <si>
    <t>Cura psicocinetica (Ciclo)</t>
  </si>
  <si>
    <t>Lv 1: Protegge l'alleato con PS più bassi (non agisce attivamente, non prendibile di mira, recupera 6% PS max/sec per 4s). Lv 2: Recupera anche 300 cosmo extra/sec. Lv 3: Consumando 2500 cosmo in battaglia, ricarica -10%. Inizio: 0.900s | Fine: 1.63s | Ritardo: 4.50s | Ricarica: 10.00s | Cosmos ATT: 870</t>
  </si>
  <si>
    <t>Talento Evidente (Passivo)</t>
  </si>
  <si>
    <t>Lv 1: Cosmo massimo raddoppiato. Bonus a soglie: &gt;15% cosmo raddoppia recupero cosmo; &gt;30% ATT e DIF +30%; &gt;50% cosmo bloccato tranne per segreta; &gt;75% immunità controlli lanciando abilità. Lv 2: Ogni 500 cosmo ottenuto aumenta DIF squadra del 1% (max 100%). Lv 3: Ogni 500 cosmo consumato aumenta ATT squadra del 1% (max 100%).</t>
  </si>
  <si>
    <t>Ariete Gold Cloth [Sion - Esclusivo]</t>
  </si>
  <si>
    <t>Cura psicocinetica sale a 8% PS e 400 cosmo.</t>
  </si>
  <si>
    <t>Cura e recupero cosmo si applicano anche a Shion.</t>
  </si>
  <si>
    <t>Stardust Revolution aumenta la ricarica ciclica nemica di 3s.</t>
  </si>
  <si>
    <t>SCHEDA PERSONAGGIO: Mû (Ariete in Armatura Divina)</t>
  </si>
  <si>
    <t>Alla fine della cecità, passive e attivazioni nemiche annullate per 3s.</t>
  </si>
  <si>
    <t>All'inizio della battaglia ottiene 2000 punti cosmo.</t>
  </si>
  <si>
    <t>Ogni volta che ottiene e consuma 500 cosmo, ATT e DIF della squadra aumentano del 1.5% (max 150%).</t>
  </si>
  <si>
    <t>Mû (Ariete in Armatura Divina)</t>
  </si>
  <si>
    <t>Ariete in Armatura Divina</t>
  </si>
  <si>
    <t>2025-12-18</t>
  </si>
  <si>
    <t>495359 / 652793</t>
  </si>
  <si>
    <t>44525 / 55477</t>
  </si>
  <si>
    <t>9731 / 11384</t>
  </si>
  <si>
    <t>God - Starlight Extinction (Arcano)</t>
  </si>
  <si>
    <t>Lv 1: Mu usa la luce delle stelle contro tutti (20% PS max) e [cecità] per 1s (precisione -30% per i successivi 2s). Lv 2: Con ogni attacco normale, i PS aumentano permanentemente del 20% (max 100%). Lv 3: Limite cosmo nemico temporaneamente +30% per 5s (cumulabile fino a 3 livelli). Inizio: 1.700s | Fine: 3.00s | Cosmos DANNO: 600</t>
  </si>
  <si>
    <t>Crystal Wall - Mod (Ciclo)</t>
  </si>
  <si>
    <t>Lv 1: Crystal Wall riduce il recupero cosmo nemico del 25%; protegge gli alleati facendo in modo che nessun danno singolo superi il 30% dei PS massimi (durata 3s). Lv 2: Recupero cosmo nemici -30%. Lv 3: Danno singolo max 25% PS max. Lv 4: Dentro il Crystal Wall, i PS max di Mu aumentano del 30%. Inizio: 1.000s | Fine: 1.98s | Ritardo: 3.60s | Ricarica: 12.00s</t>
  </si>
  <si>
    <t>Luce Purificante (Innesco)</t>
  </si>
  <si>
    <t>Lv 1: Protegge tutti gli alleati: i debuff vengono purificati immediatamente e diventano immuni per 3s (intervallo 3s per bersaglio). Lv 2: Ogni purificazione fa recuperare 15% PS max. Lv 3: Ogni purificazione fa recuperare 500 cosmo.</t>
  </si>
  <si>
    <t>Padronanza del Cosmo (Passivo)</t>
  </si>
  <si>
    <t>Lv 1: Consuma solo l'80% di cosmo per la tecnica segreta. Se il cosmo nemico è inferiore al proprio, DAN subiti da Mu ridotti del 30% (ulteriore -30% se inferiore alla metà). Lv 2: Consuma il 70% di cosmo. Lv 3: Consuma il 60% di cosmo.</t>
  </si>
  <si>
    <t>SCHEDA PERSONAGGIO: Atena (Ragazza)</t>
  </si>
  <si>
    <t>Ariete God Cloth [Mu - Esclusivo]</t>
  </si>
  <si>
    <t>Luce Purificante ripristina PS anche su un altro alleato con la % di PS più bassa.</t>
  </si>
  <si>
    <t>Luce Purificante ripristina cosmo anche su un altro alleato con la % di cosmo più bassa.</t>
  </si>
  <si>
    <t>Disperdendo debuff, fa recuperare 12% PS max e 600 cosmo.</t>
  </si>
  <si>
    <t>Dà a tutti gli alleati immunità al debuff disperso (durata 4s).</t>
  </si>
  <si>
    <t>Bonus Salute: 30% | Bonus Difesa: 30% | Precisione: 120 | Accelerazione: 30</t>
  </si>
  <si>
    <t>Atena (Ragazza)</t>
  </si>
  <si>
    <t>Ragazza</t>
  </si>
  <si>
    <t>Durante Crystal Wall - Mod, gli alleati recuperano 4% PS max/sec e i nemici subiscono DAN reali pari al 4% PS max/sec.</t>
  </si>
  <si>
    <t>La durata dell'effetto di Crystal Wall - Mod aumenta di ulteriori 2 secondi.</t>
  </si>
  <si>
    <t>Bonus Salute: 12.00% | Fermezza: 132.0 | Effetto Cura: 3.60%</t>
  </si>
  <si>
    <t>2025-10-02</t>
  </si>
  <si>
    <t>425346 / 652793</t>
  </si>
  <si>
    <t>49944 / 55477</t>
  </si>
  <si>
    <t>7635 / 11384</t>
  </si>
  <si>
    <t>Aura della Dea (Arcano)</t>
  </si>
  <si>
    <t>Lv 1: Riduce la DIF nemica del 40% per 5s e infligge 200% ATT a tutti (+10% DAN abilità subiti per 5s; bonus +20% per ogni nemico in meno di 5). Lv 2: DIF -50%, DAN 230% ATT. Lv 3: Stordisce per 2s se i PS del bersaglio superano il 50% (colpo sicuro critico). Inizio: 1.187s | Fine: 2.60s | Cosmos DANNO: 600</t>
  </si>
  <si>
    <t>Aria Divina (Ciclo)</t>
  </si>
  <si>
    <t>Lv 1: Ottiene [Aria Divina] (riflette interamente DAN e effetti della prossima abilità ciclica nemica, max 8s). Lv 2: Durata max 10s. Lv 3: Riflette 2 attacchi di abilità ciclica. Lv 4: Rimovibile solo con dispersione potente. Inizio: 0.500s | Fine: 0.97s | Ritardo: 6.50s | Ricarica: 12.50s | Cosmos ATT: 1235</t>
  </si>
  <si>
    <t>Divine Favor (Ciclo)</t>
  </si>
  <si>
    <t>Lv 1: Purifica l'alleato con PS inferiori, facendo recuperare 25% PS max e 1000 cosmo. Lv 2: 30% PS max e 1500 cosmo. Lv 3: 35% PS max e 2000 cosmo. Inizio: 0.800s | Fine: 1.47s | Ritardo: 3.80s | Ricarica: 10.50s | Cosmos ATT: 930</t>
  </si>
  <si>
    <t>Amore Incondizionato (Passivo)</t>
  </si>
  <si>
    <t>Lv 1: Con PS &gt; 75%, gli attacchi abilità singoli nemici bersagliano Atena in via prioritaria. Immune a DAN letale attivando subito 1 [Divine Favor] (intervallo 8s). Lv 2: Intervallo 7s. Lv 3: Intervallo 6s.</t>
  </si>
  <si>
    <t>Atena God Cloth [Atena - Esclusivo]</t>
  </si>
  <si>
    <t>Tecnica segreta aumenta i DAN subiti dai nemici del 20% per 5s.</t>
  </si>
  <si>
    <t>DAN subiti aumentati del 30% per 5s.</t>
  </si>
  <si>
    <t>Divine Favor ha effetto anche su sé stessa.</t>
  </si>
  <si>
    <t>Lanciando abilità ciclica disperde i terreni in campo (se non lo fa, ricarica -30%).</t>
  </si>
  <si>
    <t>All'inizio della battaglia ottiene subito [Aura Divina] per 5s.</t>
  </si>
  <si>
    <t>Riflette i DAN e gli effetti di 3 attacchi di abilità ciclica.</t>
  </si>
  <si>
    <t>SCHEDA PERSONAGGIO: Apollo (Dio Sole)</t>
  </si>
  <si>
    <t>SCHEDA PERSONAGGIO: Hakurei (Altare)</t>
  </si>
  <si>
    <t>Apollo (Dio Sole)</t>
  </si>
  <si>
    <t>Dio Sole</t>
  </si>
  <si>
    <t>Hakurei (Altare)</t>
  </si>
  <si>
    <t>Altare</t>
  </si>
  <si>
    <t>2026-09-24</t>
  </si>
  <si>
    <t>2026-06-11</t>
  </si>
  <si>
    <t>8.435 / 11384</t>
  </si>
  <si>
    <t>468108 / 652793</t>
  </si>
  <si>
    <t>8.273 / 11384</t>
  </si>
  <si>
    <t>Fiamma Distruttrice (Arcano)</t>
  </si>
  <si>
    <t>Sekishiki Tenryō Ha (Arcano)</t>
  </si>
  <si>
    <t>Lv 1: Passiva: chi attacca ha 50% probabilità di ricevere [Eruzione Solare] (riduce ATT e DIF del 6% per 15s, max 6 liv, considerata bruciatura). Attivo: 200% ATT a tutti e 2 livelli di [Eruzione Solare] (acceca se già in bruciatura). Lv 2: DAN 230% ATT. Lv 3: Applica 3 livelli se in bruciatura. Inizio: 2.200s | Fine: 4.30s | Cosmos DANNO: 268</t>
  </si>
  <si>
    <t>Lv 1: Onda spirituale su tutti (300% ATT), immune a DAN e debuff durante il lancio; recupera 1000 cosmo se colpisce fazione inferi o divinità. Lv 2: Recupero cosmo nemici -60% per 5s. Lv 3: Danno reale se il bersaglio è una Divinità. Inizio: 2.000s | Fine: 2.80s | Cosmos DANNO: 268</t>
  </si>
  <si>
    <t>Illuminazione del Sole Ardente (Ciclo)</t>
  </si>
  <si>
    <t>Sekishiki Konsō Ha (Ciclo)</t>
  </si>
  <si>
    <t>SCHEDA PERSONAGGIO: Moses (Balena)</t>
  </si>
  <si>
    <t>Lv 1: Attacca 4 nemici casuali (120% ATT ciascuno). Lv 2: Se in bruciatura, applica 1 livello di [Eruzione Solare]. Lv 3: Attacca 5 nemici. Lv 4: Assorbe 200 cosmo se in bruciatura. Inizio: 1.533s | Fine: 2.63s | Ritardo: 3.30s | Ricarica: 10.00s | Cosmos ATT: 1430 | Cosmos DANNO: 346</t>
  </si>
  <si>
    <t>Lv 1: Riduce i DAN del nemico con PS più alti dell'80% per 4s, poi l'anima esplode infliggendo danno reale distribuito a tutti (max 100% PS max di Hakurei); purificabile. Lv 2: Stordisce tutti per 0.75s all'esplosione. Lv 3: Riduzione DAN 90%. Lv 4: Stordisce per 1s. Inizio: 1.200s | Fine: 3.20s | Ritardo: 3.50s | Ricarica: 11.00s | Cosmos ATT: 1430 | Cosmos DANNO: 346</t>
  </si>
  <si>
    <t>Maestà del Sole (Passivo)</t>
  </si>
  <si>
    <t>Sekishiki Kisōen (Innesco)</t>
  </si>
  <si>
    <t>Lv 1: A 6 livelli di [Eruzione Solare], DAN subiti dal bersaglio +25%; ignora 20% DIF per livello. Lv 2: DAN inflitti ad Apollo ridotti dell'8% per livello. Lv 3: +8% sanguisuga per livello.</t>
  </si>
  <si>
    <t>Lv 1: Ogni 10s attiva fiamme per 5s (bruciatura a tutti pari a 25% ATT e perdita 200 cosmo/sec). Lv 2: Bruciatura 35% ATT. Lv 3: Ottiene 1.5s di immunità a DAN all'attivazione.</t>
  </si>
  <si>
    <t>Promessa dei Guerrieri (Passivo)</t>
  </si>
  <si>
    <t>Oltraggio al Dio del Sole (Innesco)</t>
  </si>
  <si>
    <t>Lv 1: Per ogni alleato in campo ottiene +12% Riduzione DAN e PS max; per ogni alleato morto ottiene +12% bonus DAN e sanguisuga (max 5 accumuli). Lv 2: Bonus a 14%. Lv 3: Bonus a 16%.</t>
  </si>
  <si>
    <t>Lv 1: Congelamento ridotto del 50%. Ogni bruciatura nemica dà 1 livello di [Ira del Dio del Sole] (a 20 livelli entra in stato Oltraggio con +5% ATT e vel. ATT per livello). Lv 2: DAN prima di Oltraggio ridotti del 35% (in Oltraggio +35% DAN). Lv 3: Se alleato è congelato dà 1 livello di Ira; immune a controlli in Oltraggio.</t>
  </si>
  <si>
    <t>Altare Silver Cloth [Hakurei - Esclusivo]</t>
  </si>
  <si>
    <t>Moses (Balena)</t>
  </si>
  <si>
    <t>Arma di Apollon [Apollo - Esclusivo]</t>
  </si>
  <si>
    <t>Balena</t>
  </si>
  <si>
    <t>Immunità a DAN di Sekishiki Kisōen dura 2.5s.</t>
  </si>
  <si>
    <t>Acqua</t>
  </si>
  <si>
    <t>Distruzione cosmo potenziata in assorbimento contro Inferi o divinità.</t>
  </si>
  <si>
    <t>Ogni livello di Eruzione Solare riduce ATT e DIF dell'8%.</t>
  </si>
  <si>
    <t>Lanciando la tecnica segreta ottiene immunità a DAN per 3s.</t>
  </si>
  <si>
    <t>Tecnica segreta +30% DAN; finché non la usa per la prima volta, Hakurei non può morire.</t>
  </si>
  <si>
    <t>I nemici che attaccano Apollo hanno l'80% di probabilità di ricevere 1 livello di Eruzione Solare.</t>
  </si>
  <si>
    <t>577.893 / 652.793</t>
  </si>
  <si>
    <t>Ricevendo DAN letale per la prima volta, consuma Ira ed entra in Oltraggio con invincibilità per 4s.</t>
  </si>
  <si>
    <t>33.665 / 55.477</t>
  </si>
  <si>
    <t>In Oltraggio elimina effetti di terreno/ambiente, ne è immune e l'attacco base diventa Illuminazione del Sole Ardente.</t>
  </si>
  <si>
    <t>10.407 / 11.384</t>
  </si>
  <si>
    <t>1137 / 1160</t>
  </si>
  <si>
    <t>193 / 197</t>
  </si>
  <si>
    <t>Il danno da esplosione di Sekishiki Konsō Ha è distribuito equamente in base ai PS del bersaglio.</t>
  </si>
  <si>
    <t>Se Sekishiki Konsō Ha ha successo, si attiva automaticamente un'altra volta (max 2 effetti in campo).</t>
  </si>
  <si>
    <t>Kaitos Spurting Bomber (Arcano)</t>
  </si>
  <si>
    <t>Lv 1: Infligge a 3 nemici DAN 260% ATT e riduce il DAN inflitto verso di sé del 40% per 5s. Lv 2: DAN 280% ATT, riduzione DAN 50%. Lv 3: DAN 320% ATT, durata 6s. Inizio: 1.400s | Fine: 2.60s | Cosmos DANNO: 636</t>
  </si>
  <si>
    <t>Spirit Blast (Ciclo)</t>
  </si>
  <si>
    <t>Lv 1: Infligge 180% DAN alla fila anteriore e riduce i DAN subiti del 35% per 6s. Lv 2: DAN 220% ATT. Lv 3: Durata 8s. Lv 4: DAN 250% ATT. Inizio: 0.450s | Fine: 1.47s | Ritardo: 3.10s | Ricarica: 10.00s | Cosmos ATT: 1230 | Cosmos DANNO: 150</t>
  </si>
  <si>
    <t>Guard of Whale (Apertura)</t>
  </si>
  <si>
    <t>Lv 1: Inizio battaglia: riduce DAN subiti dalla propria fila anteriore del 30% per 6s (non disperdibile). Lv 2: Riduzione DAN 40%. Lv 3: Durata 8s. Inizio: 0.001s | Fine: 0.30s | Cosmos ATT: 750 | Ordine d'azione: 82</t>
  </si>
  <si>
    <t>Eruzione Solare è irresistibile e inpurificabile.</t>
  </si>
  <si>
    <t>Whale Strength (Passivo)</t>
  </si>
  <si>
    <t>Lv 1: Ogni 8s purifica sé e tutti gli alleati dai debuff. Lv 2: Purificando un controllo, aumenta la propria DIF del 10% per 6s. Lv 3: Aumento DIF 15%. Inizio: 0.001s | Fine: 0.01s | Ritardo: 7.00s | Ricarica: 7.00s</t>
  </si>
  <si>
    <t>Abilità attive di alleati e nemici applicano immediatamente 1 livello di Eruzione Solare.</t>
  </si>
  <si>
    <t>Balena Silver Cloth [Moses - Esclusivo]</t>
  </si>
  <si>
    <t>Bonus Difesa: 26.40% | Sanguisuga: 48.0 | Bonus Attacco: 3.90%</t>
  </si>
  <si>
    <t>Whale Strength purifica i debuff degli alleati.</t>
  </si>
  <si>
    <t>Purificando con successo un debuff, fa recuperare a Moses il 5% dei PS massimi.</t>
  </si>
  <si>
    <t>Kaitos Spurting Bomber diminuisce il danno inflitto dal bersaglio verso tutti i nemici.</t>
  </si>
  <si>
    <t>Kaitos Spurting Bomber trasforma il bersaglio in nemico per tutti i combattenti in campo.</t>
  </si>
  <si>
    <t>Bonus Salute: 21% | Bonus Attacco: 12% | Bonus Difesa: 15% | Tenacia: 90</t>
  </si>
  <si>
    <t>L'effetto di Guard of Whale è valido anche su un alleato casuale della fila posteriore.</t>
  </si>
  <si>
    <t>L'effetto di Guard of Whale è valido per tutta la squadra.</t>
  </si>
  <si>
    <t>Bonus Salute: 12.00% | Effetto Cura Ricevuta: 6.00% | Bonus Difesa: 16.80%</t>
  </si>
  <si>
    <t>Bonus Attacco: 7.50% | Fermezza: 132.0 | Bonus Salute: 6.00%</t>
  </si>
  <si>
    <t>SCHEDA PERSONAGGIO: Marine (Aquila)</t>
  </si>
  <si>
    <t>Marine (Aquila)</t>
  </si>
  <si>
    <t>Aquila</t>
  </si>
  <si>
    <t>433.406 / 652.793</t>
  </si>
  <si>
    <t>46.595 / 55.477</t>
  </si>
  <si>
    <t>8.132 / 11384</t>
  </si>
  <si>
    <t>1090 / 1160</t>
  </si>
  <si>
    <t>185 / 197</t>
  </si>
  <si>
    <t>Eagle Toe Flash (Arcano)</t>
  </si>
  <si>
    <t>Lv 1: Attacca la fila posteriore (280% ATT) e riduce la precisione dei nemici del 40% per 5s. Lv 2: DAN 320% ATT. Lv 3: Precisione -60%, durata 6s. Inizio: 2.267s | Fine: 3.60s | Cosmos DANNO: 104</t>
  </si>
  <si>
    <t>Kuken (Ciclo)</t>
  </si>
  <si>
    <t>Lv 1: Attacca un nemico casuale anteriore (280% ATT). Ogni lancio aumenta permanentemente il DAN successivo del 15% (cumulabile). Lv 2: DAN 300% ATT. Lv 3: DAN 320% ATT. Lv 4: Se i PS del bersaglio sono &lt; 25%, infligge 25% DAN extra. Inizio: 0.500s | Fine: 1.20s | Ritardo: 2.50s | Ricarica: 9.00s | Cosmos ATT: 1000 | Cosmos DANNO: 600</t>
  </si>
  <si>
    <t>Eagle Agility (Passivo)</t>
  </si>
  <si>
    <t>Lv 1: La schivata aumenta di 9 punti al secondo (max 150 punti). Lv 2: Una schivata fa recuperare salute pari al 60% dell'ATT (intervallo 2s). Lv 3: Schivata max 180, recupero salute 80% ATT. Inizio: 0.001s | Fine: 0.01s</t>
  </si>
  <si>
    <t>Misterious Mask (Innesco)</t>
  </si>
  <si>
    <t>Lv 1: Subendo debuff, schivata +20% per 4s (intervallo 6s). Lv 2: Una schivata riuscita purifica 1 debuff o controllo. Lv 3: Schivata +30% all'attivazione. Ritardo: 5.00s</t>
  </si>
  <si>
    <t>Aquila Silver Cloth [Marin - Esclusivo]</t>
  </si>
  <si>
    <t>Con la salute ridotta, la probabilità di schivata aumenta fino al 20%.</t>
  </si>
  <si>
    <t>Schivata aumenta fino al 25% con salute ridotta.</t>
  </si>
  <si>
    <t>Ogni 8s schiva completamente la prossima abilità.</t>
  </si>
  <si>
    <t>Ogni 6s schiva completamente la prossima abilità.</t>
  </si>
  <si>
    <t>Bonus Salute: 15% | Bonus Attacco: 18% | Bonus Difesa: 9% | Schivata: 90</t>
  </si>
  <si>
    <t>Eagle Agility le fa recuperare 7% di salute massima extra.</t>
  </si>
  <si>
    <t>I controlli attivano Misterious Mask; intervallo ridotto a 4s; schivata riuscita disperde tutti i debuff e controlli.</t>
  </si>
  <si>
    <t>Bonus Salute: 12.00% | Schivata: 96.0 | Bonus Attacco: 3.60%</t>
  </si>
  <si>
    <t>Bonus Attacco: 7.50% | Tenacia: 114.0 | Bonus Salute: 6.30%</t>
  </si>
  <si>
    <t>Bonus Difesa: 26.40% | Sanguisuga: 48.0 | Schivata: 60.0</t>
  </si>
  <si>
    <t>SCHEDA PERSONAGGIO: Milo (Scorpion)</t>
  </si>
  <si>
    <t>Milo (Scorpion)</t>
  </si>
  <si>
    <t>Scorpion</t>
  </si>
  <si>
    <t>SCHEDA PERSONAGGIO: Deathmask (Cancro)</t>
  </si>
  <si>
    <t>408.860 / 652.793</t>
  </si>
  <si>
    <t>52.948 / 55.477</t>
  </si>
  <si>
    <t>6.986 / 11384</t>
  </si>
  <si>
    <t>1009 / 1160</t>
  </si>
  <si>
    <t>Deathmask (Cancro)</t>
  </si>
  <si>
    <t>Scarlet Needle (Arcano)</t>
  </si>
  <si>
    <t>Lv 1: 6 attacchi di seguito (550% ATT totale), aggiunge livelli di [Scarlet Needle]. A 15 livelli il bersaglio muore direttamente (nemici potenti subiscono DAN extra). Lv 2: DAN 600% ATT. Lv 3: L'ultimo colpo aggiunge 2 livelli extra, DAN 625% ATT. Inizio: 1.700s | Fine: 3.20s | Cosmos DANNO: 180</t>
  </si>
  <si>
    <t>Cancro</t>
  </si>
  <si>
    <t>Barb of Needle (Ciclo)</t>
  </si>
  <si>
    <t>Lv 1: Infligge 230% ATT alla fila anteriore e aggiunge 1 livello di [Scarlet Needle]. Lv 2: Applica [veleno] (25% ATT ogni 0.5s per 4s). Lv 3: DAN 280% ATT. Lv 4: Veleno 30% ATT per 5s. Inizio: 0.800s | Fine: 1.80s | Ritardo: 3.50s | Ricarica: 8.00s | Cosmos ATT: 1150 | Cosmos DANNO: 600</t>
  </si>
  <si>
    <t>Restriction (Apertura)</t>
  </si>
  <si>
    <t>Lv 1: All'inizio punta il nemico con PS più alti, causa [imprigionamento] per 3s e applica 2 livelli di [Scarlet Needle]. Attacchi prioritaria su di esso. Lv 2: Attaccando il bersaglio bloccato aumenta la vel. ATT fino al 100% (si resetta se cambia bersaglio); rilancia Restriction se muore. Lv 3: Vel. ATT max 150%. Inizio: 0.433s | Fine: 1.30s | Ordine d'azione: 80</t>
  </si>
  <si>
    <t>Scorpion Needle (Passivo)</t>
  </si>
  <si>
    <t>Lv 1: Attacco base ha 50% di probabilità di causare 1 livello di [Scarlet Needle]. Lv 2: Ogni livello riduce ATT e DIF del bersaglio del 2%. Lv 3: Ogni livello riduce ATT e DIF del bersaglio del 3%.</t>
  </si>
  <si>
    <t>417.065 / 652.793</t>
  </si>
  <si>
    <t>50.920 / 55.477</t>
  </si>
  <si>
    <t>7.472 / 11384</t>
  </si>
  <si>
    <t>Scorpione Gold Cloth [Milo - Esclusivo]</t>
  </si>
  <si>
    <t>1015 / 1160</t>
  </si>
  <si>
    <t>173 / 197</t>
  </si>
  <si>
    <t>Uccidendo qualsiasi nemico, guadagna scudo pari al 400% dell'ATT (accumulabile).</t>
  </si>
  <si>
    <t>Sekishiki Meikai Ha (Arcano)</t>
  </si>
  <si>
    <t>Scudo pari al 600% dell'ATT.</t>
  </si>
  <si>
    <t>Lv 1: Manda le anime di 3 nemici in Yomotsu Hirasaka (300% ATT) e riduce il recupero cosmo del 50% per 6s. Lv 2: DAN 330% ATT, recupero cosmo -60%. Lv 3: Recupero cosmo -70% per 7s. Inizio: 1.400s | Fine: 2.73s | Cosmos DANNO: 520</t>
  </si>
  <si>
    <t>Soul Sucking (Ciclo)</t>
  </si>
  <si>
    <t>+25% ATT e sanguisuga attaccando bersagli con sanguinamento e veleno.</t>
  </si>
  <si>
    <t>Lv 1: Attacca l'anima del nemico con più cosmo (330% ATT) e assorbe fino a 1500 cosmo. Lv 2: DAN 360% ATT. Lv 3: Assorbe fino a 1800 cosmo. Lv 4: Assorbe fino a 2500 cosmo. Inizio: 0.900s | Fine: 1.23s | Ritardo: 5.90s | Ricarica: 11.00s | Cosmos ATT: 1680 | Cosmos DANNO: 600</t>
  </si>
  <si>
    <t>Yomotsu Hirasaka (Ciclo)</t>
  </si>
  <si>
    <t>Ogni attacco normale aumenta Scarlet Needle di uno strato.</t>
  </si>
  <si>
    <t>Bonus Salute: 9% | Bonus Attacco: 24% | Bonus Difesa: 6% | Critico: 60</t>
  </si>
  <si>
    <t>Lv 1: Spiriti attaccano 2 nemici casuali (70% ATT) bruciando 100 cosmo a colpo. Lv 2: Riduce l'ATT dei bersagli del 25%. Lv 3: Probabilità di interrompere l'azione dei bersagli. Inizio: 0.333s | Fine: 1.13s | Ritardo: 3.20s | Ricarica: 9.00s</t>
  </si>
  <si>
    <t>Shuttle of the Underworld (Innesco)</t>
  </si>
  <si>
    <t>Lv 1: Alla morte di un nemico, Deathmask recupera 25% PS max e aumenta ATT e DIF del 20%. Lv 2: Recupera 35% PS max. Lv 3: Aumenta ATT e DIF del 25%.</t>
  </si>
  <si>
    <t>Se cambia bersaglio, Milo perde solo 3 livelli del buff alla vel. ATT.</t>
  </si>
  <si>
    <t>Cancro Gold Cloth [Deathmask - Esclusivo]</t>
  </si>
  <si>
    <t>SCHEDA PERSONAGGIO: Aphrodite (Pesci)</t>
  </si>
  <si>
    <t>Quando Milo cambia bersaglio, non perde il buff alla vel. ATT.</t>
  </si>
  <si>
    <t>Bonus Salute: 12.00% | Schivata: 96.0 | Velocità Attacco: 5.10%</t>
  </si>
  <si>
    <t>Riduce la velocità di accumulo del Cosmo dei nemici del 15%.</t>
  </si>
  <si>
    <t>Riduce l'accumulo del Cosmo nemico del 30%.</t>
  </si>
  <si>
    <t>Bonus Difesa: 26.40% | Precisione: 108.0 | Schivata: 60.0</t>
  </si>
  <si>
    <t>Assorbe il 50% del cosmo dei nemici morti.</t>
  </si>
  <si>
    <t>Assorbe il 100% del cosmo dei nemici morti.</t>
  </si>
  <si>
    <t>Bonus Salute: 15% | Bonus Attacco: 18% | Bonus Difesa: 9% | Precisione: 60</t>
  </si>
  <si>
    <t>Gli spiriti evocati da Yomotsu Hirasaka bruciano 300 cosmo a colpo.</t>
  </si>
  <si>
    <t>Aphrodite (Pesci)</t>
  </si>
  <si>
    <t>Quando un bersaglio degli spiriti muore, Deathmask resetta tutti i tempi di ricarica delle abilità e recupera il cosmo al massimo.</t>
  </si>
  <si>
    <t>Bonus Salute: 12.00% | Precisione: 108.0 | Bonus Difesa: 15.90%</t>
  </si>
  <si>
    <t>Bonus Attacco: 11.10% | Critico: 96.0</t>
  </si>
  <si>
    <t>Pesci</t>
  </si>
  <si>
    <t>Bonus Difesa: 26.40% | Velocità Attacco: 7.50% | Critico: 63.0</t>
  </si>
  <si>
    <t>450.602 / 652.793</t>
  </si>
  <si>
    <t>50.348 / 55.477</t>
  </si>
  <si>
    <t>7.391 / 11384</t>
  </si>
  <si>
    <t>1038 / 1160</t>
  </si>
  <si>
    <t>Royal Demon Rose (Arcano)</t>
  </si>
  <si>
    <t>Lv 1: Rose velenose su tutti (180% ATT) e [veleno] per 2.5s (30% ATT ogni 0.5s). Lv 2: DAN 190%, veleno 35%. Lv 3: DAN 200%, veleno 50%. Inizio: 1.500s | Fine: 2.80s | Cosmos DANNO: 57</t>
  </si>
  <si>
    <t>Piranhan Rose (Ciclo)</t>
  </si>
  <si>
    <t>Lv 1: Rose nere attaccano 2 nemici posteriori (215% ATT) e riducono l'ATT del 25% per 5s. Lv 2: DAN 245% ATT. Lv 3: Riduzione ATT 35% per 6s. Lv 4: DAN 275% ATT. Inizio: 0.700s | Fine: 1.87s | Ritardo: 4.30s | Ricarica: 9.00s | Cosmos ATT: 1330 | Cosmos DANNO: 424</t>
  </si>
  <si>
    <t>Bloody Rose (Innesco)</t>
  </si>
  <si>
    <t>Lv 1: Ogni 3 attacchi normali lancia una rosa bianca a un nemico (120% ATT) applicando veleno (35% ATT/sec per 3s). Lv 2: Veleno 45% ATT/sec. Lv 3: Alla morte di Aphrodite, infligge danno di vendetta pari al totale del veleno inflitto in battaglia.</t>
  </si>
  <si>
    <t>Perception of Plants (Passivo)</t>
  </si>
  <si>
    <t>Lv 1: Immune al veleno; recupera PS pari al 45% del danno da veleno inflitto dai nemici. Lv 2: Recupero PS pari al 60% del danno da veleno. Lv 3: Se la cura è in eccesso, viene distribuita agli alleati.</t>
  </si>
  <si>
    <t>Pesci Gold Cloth [Aphrodite - Esclusivo]</t>
  </si>
  <si>
    <t>SCHEDA PERSONAGGIO: Atena (Dea della Terra)</t>
  </si>
  <si>
    <t>Durata veleno di Royal Demon Rose aumentata del 50%.</t>
  </si>
  <si>
    <t>Durata veleno aumentata del 100%.</t>
  </si>
  <si>
    <t>Danno inflitto dal veleno aumentato del 50%.</t>
  </si>
  <si>
    <t>Danno inflitto dal veleno aumentato del 100%.</t>
  </si>
  <si>
    <t>Atena (Dea della Terra)</t>
  </si>
  <si>
    <t>Bonus Salute: 12% | Bonus Attacco: 21% | Bonus Difesa: 9% | Critico: 90</t>
  </si>
  <si>
    <t>Dea della Terra</t>
  </si>
  <si>
    <t>Subendo DAN, ha 60% di probabilità di avvelenare l'attaccante (15% ATT ogni 0.5s per 3s, max 3 livelli).</t>
  </si>
  <si>
    <t>Subendo DAN, ha 100% di probabilità di avvelenare l'attaccante e ridurne ATT e DIF del 15% per 4s (max 3 livelli).</t>
  </si>
  <si>
    <t>Bonus Salute: 18.90% | Precisione: 108.0</t>
  </si>
  <si>
    <t>47.506 / 55.477</t>
  </si>
  <si>
    <t>8.448 / 11384</t>
  </si>
  <si>
    <t>Bonus Difesa: 26.40% | Velocità Attacco: 7.50% | Sanguisuga: 24.0</t>
  </si>
  <si>
    <t>Misopethamenos (Arcano)</t>
  </si>
  <si>
    <t>Lv 1: Cura tutta la squadra (30% della salute di Atena). Lv 2: Verso bersagli con salute &lt; 20%, cura +25%. Lv 3: Tutti recuperano 35% salute, bersagli con salute &lt; 30% hanno effetto cura +30%. Inizio: 1.600s | Fine: 2.40s</t>
  </si>
  <si>
    <t>Goddess Refuge (Ciclo)</t>
  </si>
  <si>
    <t>Lv 1: Il Saint con la % di salute più bassa ottiene uno scudo pari al 300% dell'ATT per 5s. Lv 2: Scudo 330%, durata 6s. Lv 3: Fornisce immunità a controllo/interruzione e riduce i DAN del 25%. Lv 4: Scudo 360%. Inizio: 0.600s | Fine: 1.90s | Ritardo: 5.80s | Ricarica: 12.00s | Cosmos ATT: 1105</t>
  </si>
  <si>
    <t>Goddess Fury (Ciclo)</t>
  </si>
  <si>
    <t>Lv 1: Infligge DAN a 1 nemico posteriore (280% ATT) e [stordimento] per 2.5s. Lv 2: DAN 310% ATT. Lv 3: Stordimento 3.5s. Inizio: 0.600s | Fine: 1.37s | Ritardo: 3.90s | Ricarica: 11.00s | Cosmos ATT: 1040 | Cosmos DANNO: 600</t>
  </si>
  <si>
    <t>Land of the Goddess (Passivo)</t>
  </si>
  <si>
    <t>Lv 1: Alleati ottengono +15% effetti di cura e recupero. Lv 2: Curando, ha 80% di probabilità di dare +20% ATT e DIF per 6s. Lv 3: Effetti di cura aumentati al 25%.</t>
  </si>
  <si>
    <t>Atena Cloth [Atena - Esclusivo]</t>
  </si>
  <si>
    <t>All'attacco normale, cura un alleato con la % di vita più bassa ripristinando la stessa quantità di salute.</t>
  </si>
  <si>
    <t>All'uso di un'abilità, cura un alleato con la % di vita più bassa ripristinandone la stessa quantità.</t>
  </si>
  <si>
    <t>Gli alleati influenzati da Misopethamenos non potranno morire per 1,5 secondi.</t>
  </si>
  <si>
    <t>Gli alleati influenzati da Misopethamenos non potranno morire per 2,5 secondi.</t>
  </si>
  <si>
    <t>Bonus Salute: 15% | Bonus ATT: 18% | Bonus DIF: 12% | Schivata: 60</t>
  </si>
  <si>
    <t>Quando cura un bersaglio, disperde 1 suo debuff o controllo casuale.</t>
  </si>
  <si>
    <t>Quando cura il bersaglio, disperde tutti i suoi effetti di debuff e controllo.</t>
  </si>
  <si>
    <t>Bonus Salute: 12.00% | Fermezza: 132.0 | Bonus Difesa: 16.80%</t>
  </si>
  <si>
    <t>Bonus Attacco: 7.50% | Effetto Cura: 6.00% | Bonus Salute: 6.60%</t>
  </si>
  <si>
    <t>SCHEDA PERSONAGGIO: Thétis (Sirena)</t>
  </si>
  <si>
    <t>Thétis (Sirena)</t>
  </si>
  <si>
    <t>SCHEDA PERSONAGGIO: Io (Scylla)</t>
  </si>
  <si>
    <t>Scudo</t>
  </si>
  <si>
    <t>2022-08-10</t>
  </si>
  <si>
    <t>Io (Scylla)</t>
  </si>
  <si>
    <t>51.896 / 55.477</t>
  </si>
  <si>
    <t>Scylla</t>
  </si>
  <si>
    <t>7.310 / 11384</t>
  </si>
  <si>
    <t>Mermaid Debt (Arcano)</t>
  </si>
  <si>
    <t>Lv 1: Passiva: si connette all'alleato con la potenza più alta (trasferisce 25% cosmo e spartisce 25% DAN ricevuto; priorità a Poseidone). Se Poseidone muore, Tetis muore al suo posto trasferendogli cosmo e salute. Attiva: ATT e DIF alleato +20% per 8s, cura sé stessa e alleato (260% ATT). Lv 2: ATT/DIF +25%, cura 300% ATT. Lv 3: ATT/DIF +30%, cura 340% ATT. Inizio: 2.100s | Fine: 3.00s</t>
  </si>
  <si>
    <t>2022-12-14</t>
  </si>
  <si>
    <t>Blinding Coral (Ciclo)</t>
  </si>
  <si>
    <t>Lv 1: Attacca il nemico con DAN max (265% ATT) e rigidità (1.5s), con attivazioni ripetute ogni 3s (max 3 volte). Lv 2: DAN 295% ATT, prob. rigidità 80%. Lv 3: Aggiunge veleno (20% ATT ogni 0.5s per 6s). Lv 4: Veleno 25% ATT. Inizio: 0.800s | Fine: 1.90s | Ritardo: 4.60s | Ricarica: 13.40s | Cosmos ATT: 1800 | Cosmos DANNO: 600</t>
  </si>
  <si>
    <t>Mermaid Song (Passivo)</t>
  </si>
  <si>
    <t>Lv 1: Cura continuamente l'alleato connesso e sé stessa (60% ATT ogni 2s). Lv 2: Cura fa recuperare 600 cosmo extra a Tetis. Lv 3: Cura al 90% ATT.</t>
  </si>
  <si>
    <t>45.638 / 55.477</t>
  </si>
  <si>
    <t>9.177 / 11384</t>
  </si>
  <si>
    <t>1108 / 1160</t>
  </si>
  <si>
    <t>Agilità (Passivo)</t>
  </si>
  <si>
    <t>Lv 1: Riduce del 30% i DAN subiti insieme all'alleato connesso e del 15% tutti i DAN ricevuti. Lv 2: DAN condiviso -40%, DAN ricevuti -20%. Lv 3: DAN condiviso -50%, DAN ricevuti -25%.</t>
  </si>
  <si>
    <t>188 / 197</t>
  </si>
  <si>
    <t>Mermaid Scale [Tetis - Esclusivo]</t>
  </si>
  <si>
    <t>Lv 1: Tornado sul nemico opposto, [fluttuare] per 5s (danno reale 70% ATT al secondo, ignora DIF e rid. DAN, immunità inefficace). Passiva: attacca prioritaria i nemici nella posizione opposta. Lv 2: Danno reale 80% ATT. Lv 3: Danno reale 90% ATT. Inizio: 2.700s | Fine: 4.10s | Cosmos DANNO: 600</t>
  </si>
  <si>
    <t>Vampire Inhale (Ciclo)</t>
  </si>
  <si>
    <t>Lv 1: Pipistrelli succhia-sangue sul nemico opposto (250% ATT, più basso è il PS del bersaglio maggiore è il danno, max +75%). Lv 2: Aggiunge sanguisuga (fino al 50% del DAN). Lv 3: Sanguisuga max 80% DAN. Lv 4: Sanguisuga max 120% DAN. Inizio: 0.900s | Fine: 1.70s | Ritardo: 4.90s | Ricarica: 12.00s | Cosmos ATT: 1900 | Cosmos DANNO: 600</t>
  </si>
  <si>
    <t>I compagni collegati ricevono un aumento extra di ATT e DIF pari al 10% dell'attributo di Tetis.</t>
  </si>
  <si>
    <t>Potere di Scilla (Passivo)</t>
  </si>
  <si>
    <t>Aumento extra pari al 16%.</t>
  </si>
  <si>
    <t>Lv 1: Ottiene livelli di Potere di Scilla in base alla classe del bersaglio colpito (Ape contro Supporto, Lupo contro Difensore, Aquila contro Assassino, Serpente contro Tecnico, Orso contro Combattente). Lv 2: Effetti potenziati. Lv 3: Effetti massimi.</t>
  </si>
  <si>
    <t>Adattamento (Passivo)</t>
  </si>
  <si>
    <t>Aumento extra pari al 24%.</t>
  </si>
  <si>
    <t>Lv 1: Nella fila anteriore +10% schivata e rid. DAN; nella fila posteriore +10% critico e vel. ATT. Lv 2: Fila anteriore +15% schivata e rid. DAN. Lv 3: Fila posteriore +15% critico e vel. ATT.</t>
  </si>
  <si>
    <t>Aumento extra pari al 30% per ATT, DIF, prob. crit e schivata.</t>
  </si>
  <si>
    <t>Bonus Salute: 12% | Bonus ATT: 18% | Bonus Difesa: 12% | Critico: 90</t>
  </si>
  <si>
    <t>Scilla Scale [Io - Esclusivo]</t>
  </si>
  <si>
    <t>Quando un nemico attacca l'alleato connesso, Tetis ha 50% di probabilità di lanciare Blinding Coral (intervallo 6s).</t>
  </si>
  <si>
    <t>Se un nemico attacca l'alleato connesso, Tetis lancia immediatamente Blinding Coral (intervallo 4s).</t>
  </si>
  <si>
    <t>All'ingresso in campo ottiene 1 effetto casuale di Potere di Scilla.</t>
  </si>
  <si>
    <t>Bonus Salute: 12.00% | Fermezza: 132.0 | Critico: 63.0</t>
  </si>
  <si>
    <t>Ottiene 2 effetti casuali.</t>
  </si>
  <si>
    <t>Bonus Attacco: 7.50% | Effetto Cura: 6.00% | Schivata: 57.0</t>
  </si>
  <si>
    <t>Ottiene 3 effetti casuali.</t>
  </si>
  <si>
    <t>Bonus Difesa: 26.40% | Schivata: 96.0 | Bonus Attacco: 3.30%</t>
  </si>
  <si>
    <t>Ogni volta che ottiene Potere di Scilla, ne ottiene un altro casuale (intervallo 1s).</t>
  </si>
  <si>
    <t>Bonus Salute: 12% | Bonus ATT: 21% | Bonus DIF: 6% | Schivata: 90</t>
  </si>
  <si>
    <t>L'effetto di Adattamento aumenta ulteriormente del 5%.</t>
  </si>
  <si>
    <t>Che sia nella fila anteriore o posteriore, ottiene comunque entrambi i bonus di Adattamento.</t>
  </si>
  <si>
    <t>Bonus Salute: 12.00% | Fermezza: 132.0 | Velocità Attacco: 5.10%</t>
  </si>
  <si>
    <t>Bonus Attacco: 7.50% | Effetto Cura: 6.00% | Bonus Difesa: 15.90%</t>
  </si>
  <si>
    <t>SCHEDA PERSONAGGIO: Krishna (Crisaore)</t>
  </si>
  <si>
    <t>Krishna (Crisaore)</t>
  </si>
  <si>
    <t>Crisaore</t>
  </si>
  <si>
    <t>Fuoco</t>
  </si>
  <si>
    <t>2022-09-14</t>
  </si>
  <si>
    <t>441.752 / 652.793</t>
  </si>
  <si>
    <t>47.992 / 55.477</t>
  </si>
  <si>
    <t>Maharoshini (Arcano)</t>
  </si>
  <si>
    <t>Lv 1: Consuma 2000 cosmo per raggio di luce (respinge tutti, DAN 260% ATT), poi ogni 0.5s consuma 800 cosmo creando un [campo di Kundalini] impassabile (Krishna immune a DAN tranne reali, +8% ATT e -10% DAN subiti per sé e 2 alleati). Lv 2: Nemici attaccanti hanno 35% probabilità di essere respinti. Lv 3: ATT +10%, DAN subiti -12%. Inizio: 0.900s | Fine: 1.00s | Cosmos DANNO: 346</t>
  </si>
  <si>
    <t>Lancia d'Oro (Ciclo)</t>
  </si>
  <si>
    <t>Lv 1: Attacca con la Lancia d'Oro (respinge, 220% ATT + 15% PS massimi del nemico). Lv 2: Danni extra 20% PS massimi. Lv 3: Distrugge tutti gli scudi del bersaglio. Lv 4: Danni extra 25% PS massimi. Inizio: 0.736s | Fine: 1.70s | Ritardo: 5.90s | Ricarica: 14.00s | Cosmos ATT: 1990 | Cosmos DANNO: 600</t>
  </si>
  <si>
    <t>Flashing Lancer (Ciclo)</t>
  </si>
  <si>
    <t>Lv 1: Rapida successione (80% ATT a colpo, ultimo colpo doppio e stordisce per 2s). Ogni 1 attacco riduce la ricarica di Lancia d'Oro di 1s. Lv 2: DAN 100% ATT. Lv 3: Stordimento +3s. Inizio: 0.200s | Fine: 1.85s | Ritardo: 4.90s | Ricarica: 12.90s | Cosmos ATT: 1780 | Cosmos DANNO: 600</t>
  </si>
  <si>
    <t>Kundalini (Apertura)</t>
  </si>
  <si>
    <t>Lv 1: All'inizio dà a tutti gli alleati uno scudo pari al 20% dei PS di Krishna per 6s. Lv 2: Scudo 25%. Lv 3: Scudo 30%. Inizio: 0.300s | Fine: 1.05s | Ordine d'azione: 10</t>
  </si>
  <si>
    <t>Crisaore Scale [Krishna - Esclusivo]</t>
  </si>
  <si>
    <t>Con Maharoshini al massimo, ATT squadra +14% e DAN subiti -16%.</t>
  </si>
  <si>
    <t>ATT squadra +18% e DAN subiti -20%.</t>
  </si>
  <si>
    <t>Ogni volta che un nemico viene respinto, Krishna ottiene 800 cosmo e recupera 16% salute persa (intervallo 1.5s).</t>
  </si>
  <si>
    <t>Ottiene 1200 cosmo e 24% salute persa (intervallo 1s).</t>
  </si>
  <si>
    <t>SCHEDA PERSONAGGIO: Shiryu (Bilancia)</t>
  </si>
  <si>
    <t>Bonus Salute: 15% | Bonus ATT: 18% | Bonus DIF: 9% | Critico: 90</t>
  </si>
  <si>
    <t>Crea scudo all'inizio e ogni 14s (valore al 60% del precedente, max 4 volte).</t>
  </si>
  <si>
    <t>L'abilità Kundalini può essere ripetuta ogni 12 secondi.</t>
  </si>
  <si>
    <t>Bonus Attacco: 7.50% | Tenacia: 114.0 | Bonus Difesa: 15.90%</t>
  </si>
  <si>
    <t>Bonus Difesa: 26.40% | Sanguisuga: 48.0 | Precisione: 66.0</t>
  </si>
  <si>
    <t>Shiryu (Bilancia)</t>
  </si>
  <si>
    <t>Bilancia</t>
  </si>
  <si>
    <t>Freccia</t>
  </si>
  <si>
    <t>2022-09-21</t>
  </si>
  <si>
    <t>600.557 / 652.793</t>
  </si>
  <si>
    <t>34.271 / 55.477</t>
  </si>
  <si>
    <t>10.800 / 11384</t>
  </si>
  <si>
    <t>Lv 1: Colpo del drago verso 3 nemici (260% ATT, respinge e -15% ATT/DIF per 5s). Lv 2: DAN 290% ATT, -20% ATT/DIF. Lv 3: DAN 320% ATT, aumenta la vel. ATT di Shiryu per ogni bersaglio colpito. Inizio: 2.100s | Fine: 3.65s | Cosmos DANNO: 55</t>
  </si>
  <si>
    <t>Rozan ShoryuHa (Ciclo)</t>
  </si>
  <si>
    <t>SCHEDA PERSONAGGIO: Kaysa (Lymnades)</t>
  </si>
  <si>
    <t>Lv 1: Drago frontale, manda i nemici in aria per 3s e infligge 300% ATT. Lv 2: DAN 320% ATT. Lv 3: In aria per 4s, rompe armatura (-70% DIF per 8s). Lv 4: DAN 340% ATT. Inizio: 1.867s | Fine: 2.53s | Ritardo: 4.20s | Ricarica: 11.50s | Cosmos ATT: 1570 | Cosmos DANNO: 390</t>
  </si>
  <si>
    <t>Dragon Spirit (Passivo)</t>
  </si>
  <si>
    <t>Lv 1: Subendo DAN, recupera gradualmente 30% dei PS persi nei successivi 15s. Lv 2: Recupera 40%. Lv 3: Recupera 50%.</t>
  </si>
  <si>
    <t>Excalibur Unleash (Passivo)</t>
  </si>
  <si>
    <t>Lv 1: Ottiene livelli di [Volontà di Excalibur] ad ogni attacco/abilità; a lv 15 rilascia Excalibur (ATT base colpisce tutti i nemici frontali, DAN reale, extra 60% ATT e 40% sanguisuga). Lv 2: Extra 80% ATT, 60% sanguisuga, applica sanguinamento (-3% PS/sec, -50% cure). Lv 3: Extra 100% ATT, 80% sanguisuga, sanguinamento fino a lv 3.</t>
  </si>
  <si>
    <t>Kaysa (Lymnades)</t>
  </si>
  <si>
    <t>Bilancia Gold Cloth [Shiryu - Esclusivo]</t>
  </si>
  <si>
    <t>Lymnades</t>
  </si>
  <si>
    <t>Terra</t>
  </si>
  <si>
    <t>Recupero salute e DAN di Dragon Spirit +10%.</t>
  </si>
  <si>
    <t>Ripristino vita di Dragon Spirit +20%.</t>
  </si>
  <si>
    <t>2022-10-26</t>
  </si>
  <si>
    <t>454.989 / 652.793</t>
  </si>
  <si>
    <t>Tempo di recupero ridotto a 10 secondi.</t>
  </si>
  <si>
    <t>Quando i PS scendono sotto il 50% per la prima volta, ottiene immunità ai danni per 5 secondi.</t>
  </si>
  <si>
    <t>8.202 / 11384</t>
  </si>
  <si>
    <t>1111 / 1160</t>
  </si>
  <si>
    <t>Bonus Salute: 18% | Bonus Attacco: 12% | Bonus Difesa: 18% | Precisione: 120</t>
  </si>
  <si>
    <t>189 / 197</t>
  </si>
  <si>
    <t>Salamander Shock (Arcano)</t>
  </si>
  <si>
    <t>Lv 1: Rete elettrica sulla fila posteriore (260% ATT) e [shock elettrico] per 4s (+30% danni extra e rischio rigidità). Lv 2: Rimuove tutti i buff dei bersagli. Lv 3: DAN 300% ATT, durata shock 5s. Inizio: 2.700s | Fine: 4.00s | Cosmos DANNO: 402</t>
  </si>
  <si>
    <t>Percezione di Debolezza (Ciclo)</t>
  </si>
  <si>
    <t>Lv 1: Sfera elettrica al nemico opposto (260% ATT), probabilità di critico subito +30% per 6s. Lv 2: DAN 290% ATT. Lv 3: Prob. crit subito +40%. Lv 4: Se in shock elettrico, applica [stordimento] per 3s. Inizio: 0.900s | Fine: 2.00s | Ritardo: 3.50s | Ricarica: 10.00s | Cosmos ATT: 1350 | Cosmos DANNO: 600</t>
  </si>
  <si>
    <t>Subendo DAN da abilità ottiene [Volontà di Excalibur] e +1% vel. ATT per livello.</t>
  </si>
  <si>
    <t>Telepatia (Passivo)</t>
  </si>
  <si>
    <t>Lv 1: Prevede i danni letali sugli alleati applicando uno [scudo elettrostatico] (immunità a DAN per 1s, intervallo 14s). Lv 2: Intervallo 13s. Lv 3: Intervallo 12s.</t>
  </si>
  <si>
    <t>Subendo DAN da abilità o attacco normale ottiene [Volontà di Excalibur] e +1.5% vel. ATT per livello.</t>
  </si>
  <si>
    <t>Visione Mentale (Passivo)</t>
  </si>
  <si>
    <t>Lv 1: Quando preso di mira da abilità, crea un'illusione che riduce l'ATT del nemico del 30% durante il lancio (intervallo 6s). Lv 2: Riduzione ATT 40%. Lv 3: Riduzione ATT 50%.</t>
  </si>
  <si>
    <t>SCHEDA PERSONAGGIO: Isaac (Kraken)</t>
  </si>
  <si>
    <t>Isaac (Kraken)</t>
  </si>
  <si>
    <t>Vento</t>
  </si>
  <si>
    <t>Lymnades Scale [Kaysa - Esclusivo]</t>
  </si>
  <si>
    <t>Lv</t>
  </si>
  <si>
    <t>2022-12-07</t>
  </si>
  <si>
    <t>428.514 / 652.793</t>
  </si>
  <si>
    <t>8.932 / 11384</t>
  </si>
  <si>
    <t>1105 / 1160</t>
  </si>
  <si>
    <t>Se il compagno protetto da Telepatia viene attaccato, il bersaglio della prossima abilità singola diventa Kaysa.</t>
  </si>
  <si>
    <t>Intervallo Telepatia ridotto di 2s.</t>
  </si>
  <si>
    <t>Aurora Borealis (Arcano)</t>
  </si>
  <si>
    <t>Intervallo Visione Mentale ridotto di 1s.</t>
  </si>
  <si>
    <t>Lv 1: Aurale gelida su tutti (150% ATT) e [cecità] per 3s. Lv 2: Se bersaglio ha [Aria Gelida], cecità dura 4s. Lv 3: DAN 170% ATT, 50% DAN extra se bersaglio in [Aria Gelida] o [congelamento]. Inizio: 2.950s | Fine: 4.50s | Cosmos DANNO: 636</t>
  </si>
  <si>
    <t>Winter Fury Ultra (Ciclo)</t>
  </si>
  <si>
    <t>Riduzione ATT di Visione Mentale aumentata di un ulteriore 20%.</t>
  </si>
  <si>
    <t>Lv 1: Attacca 3 nemici frontali (160% ATT). Lv 2: DAN 180% ATT, applica [Aria Gelida] (-20% precisione, -40% recupero cosmo per 4s). Lv 3: Congela per 2.5s se in Aria Gelida. Lv 4: 50% DAN extra se in Aria Gelida o congelato. Inizio: 1.033s | Fine: 3.03s | Ritardo: 3.80s | Ricarica: 12.00s | Cosmos ATT: 1580 | Cosmos DANNO: 636</t>
  </si>
  <si>
    <t>Aria Gelida (Passivo)</t>
  </si>
  <si>
    <t>Bonus Salute: 21% | Bonus ATT: 12% | Bonus DIF: 15% | Tenacia: 120</t>
  </si>
  <si>
    <t>Lv 1: Attacco normale applica [Aria Gelida]; durata aumentata a 5s. Lv 2: Durata 6s. Lv 3: Durata 7s.</t>
  </si>
  <si>
    <t>Kraken del Mar del Nord (Passivo)</t>
  </si>
  <si>
    <t>Lv 1: Recuperando salute totale pari al 20% dei PS max, disperde controlli/debuff e aumenta ATT e DIF del 8% (max 40%). Lv 2: Riduce DAN del 6% ogni soglia (max 30%). Lv 3: Soglia attivazione portata al 12% PS max recuperati.</t>
  </si>
  <si>
    <t>Kraken Scale [Isaac - Esclusivo]</t>
  </si>
  <si>
    <t>Attaccando un bersaglio con Aria Gelida, i compagni ottengono +15% precisione e critico per 4s.</t>
  </si>
  <si>
    <t>Precisione e critico +20%.</t>
  </si>
  <si>
    <t>Aria Gelida riduce la precisione del 25% e il cosmo ottenuto del 50%.</t>
  </si>
  <si>
    <t>La durata di [shock elettrico] di Salamander Shock aumenta di 2 secondi.</t>
  </si>
  <si>
    <t>Precisione -35%, cosmo ottenuto -65%, e l'effetto Aria Gelida non può essere disperso.</t>
  </si>
  <si>
    <t>Mentre Kaysa è in campo, i nemici in stato [shock elettrico] non possono ottenere alcun buff.</t>
  </si>
  <si>
    <t>Bonus Salute: 12% | Bonus ATT: 18% | Bonus DIF: 12% | Schivata: 90</t>
  </si>
  <si>
    <t>Bonus Attacco: 7.50% | Effetto Cura: 6.00% | Bonus Salute: 6.30%</t>
  </si>
  <si>
    <t>Lancia un'abilità recupera 20% PS persi; 8% DAN extra contro bersagli in Aria Gelida.</t>
  </si>
  <si>
    <t>Bonus Difesa: 26.40% | Schivata: 96.0 | Tenacia: 72.0</t>
  </si>
  <si>
    <t>A 90% PS recuperati, immunità permanente ai controlli, accelerazione +70 e recupero 700 cosmo/sec fino a fine battaglia.</t>
  </si>
  <si>
    <t>Bonus Salute: 12.00% | Schivata: 96.0 | Sanguisuga: 24.0</t>
  </si>
  <si>
    <t>Bonus Attacco: 11.40% | Tenacia: 114.0</t>
  </si>
  <si>
    <t>Bonus Difesa: 42.90% | Sanguisuga: 48.0</t>
  </si>
  <si>
    <t>SCHEDA PERSONAGGIO: Hyôga (Acquario)</t>
  </si>
  <si>
    <t>Hyôga (Acquario)</t>
  </si>
  <si>
    <t>Acquario</t>
  </si>
  <si>
    <t>2022-11-23</t>
  </si>
  <si>
    <t>400.579 / 652.793</t>
  </si>
  <si>
    <t>Lv 1: Aria congelante su 3 nemici (300% ATT) e crea [tormenta di ghiaccio] per 16s (50% ATT ogni secondo ai nemici). Lv 2: Rallentamento di 15 punti. Lv 3: Rallentamento di 25 punti. Inizio: 2.333s | Fine: 3.40s | Cosmos DANNO: 346</t>
  </si>
  <si>
    <t>Lv 1: Aria congelante su 3 nemici (195% ATT) con 40 punti rallentamento per 4s. Lv 2: 50 punti rallentamento. Lv 3: DAN 225% ATT, congela per 1s se in tormenta di ghiaccio. Lv 4: 60 punti rallentamento. Inizio: 0.600s | Fine: 2.50s | Ritardo: 4.30s | Ricarica: 12.00s | Cosmos ATT: 1141 | Cosmos DANNO: 420</t>
  </si>
  <si>
    <t>Koliso (Ciclo)</t>
  </si>
  <si>
    <t>Lv 1: Anello di gelo su un nemico posteriore ([congelato] per 3s, 280% ATT). Lv 2: DAN 320% ATT, congelamento 4s. Lv 3: Se rimosso, infligge 25% dei PS persi. Inizio: 1.133s | Fine: 2.57s | Ritardo: 3.00s | Ricarica: 11.00s | Cosmos ATT: 980 | Cosmos DANNO: 600</t>
  </si>
  <si>
    <t>Protezione dell'Acquario (Passivo)</t>
  </si>
  <si>
    <t>Lv 1: Debuff in tormenta di ghiaccio durano il 15% in più. Lv 2: Prob. crit +12.5% contro nemici nella tormenta. Lv 3: 12.5% DAN extra contro nemici nella tormenta.</t>
  </si>
  <si>
    <t>Acquario Gold Cloth [Hyoga - Esclusivo]</t>
  </si>
  <si>
    <t>Durata Tormenta di ghiaccio portata a 16s.</t>
  </si>
  <si>
    <t>Colpo critico dell'attacco base applica congelamento per 3s.</t>
  </si>
  <si>
    <t>Tormenta di ghiaccio riduce il recupero vita nemico del 75%.</t>
  </si>
  <si>
    <t>Nemici con PS &lt; 35% vengono congelati finché superano la soglia o termina la tormenta.</t>
  </si>
  <si>
    <t>Nemici congelati subiscono il 15% di danni in più.</t>
  </si>
  <si>
    <t>All'inizio della battaglia ottiene 5000 punti cosmo extra.</t>
  </si>
  <si>
    <t>Bonus Salute: 12.00% | Precisione: 108.0 | Danno Crit: 63.0</t>
  </si>
  <si>
    <t>Bonus Difesa: 26.40% | Velocità Attacco: 12.90%</t>
  </si>
  <si>
    <t>SCHEDA PERSONAGGIO: Ikki (Leone)</t>
  </si>
  <si>
    <t>Ikki (Leone)</t>
  </si>
  <si>
    <t>Leone</t>
  </si>
  <si>
    <t>2023-01-18</t>
  </si>
  <si>
    <t>404.720 / 652.793</t>
  </si>
  <si>
    <t>51.407 / 55.477</t>
  </si>
  <si>
    <t>7.553 / 11384</t>
  </si>
  <si>
    <t>Lv 1: Turbine di fuoco su tutti (180% ATT + 1% extra ogni 2% di salute mancante del bersaglio). Lv 2: DAN 200% ATT. Lv 3: Bonus salute mancante portato all'1.5%. Inizio: 1.550s | Fine: 3.00s | Cosmos DANNO: 402</t>
  </si>
  <si>
    <t>Lv 1: Genmaken sul nemico opposto (310% ATT e terrore: perde 500 cosmo al secondo per 3s). Lv 2: Recupera salute pari al cosmo perso dal bersaglio. Lv 3: DAN 340% ATT. Lv 4: Terrore dura 4s. Inizio: 0.733s | Fine: 1.40s | Ritardo: 4.40s | Ricarica: 11.00s | Cosmos ATT: 1430 | Cosmos DANNO: 600</t>
  </si>
  <si>
    <t>SCHEDA PERSONAGGIO: Seiya (Pegaso d'Oro)</t>
  </si>
  <si>
    <t>Nirvana (Innesco)</t>
  </si>
  <si>
    <t>Lv 1: Alla prima morte resuscita con 60% PS max e stordisce tutti per 2s. Lv 2: Recupera anche 6000 cosmo. Lv 3: Resurrezione con 80% PS max e 8000 cosmo.</t>
  </si>
  <si>
    <t>Determinazione Bruciante (Passivo)</t>
  </si>
  <si>
    <t>Lv 1: Attacco base applica [Fiamme della Fenice] (danni pari al 10% dei PS persi dal bersaglio al secondo per 4s, considerati bruciatura). Lv 2: Riduce ricarica abilità di 1s a ogni colpo andato a segno. Lv 3: Durata Fiamme della Fenice portata a 6s.</t>
  </si>
  <si>
    <t>Leone Gold Cloth [Ikki - Esclusivo]</t>
  </si>
  <si>
    <t>Seiya (Pegaso d'Oro)</t>
  </si>
  <si>
    <t>Ruba il 20% dell'attacco del bersaglio colpito da Genmaken per 4s.</t>
  </si>
  <si>
    <t>Pegaso d'Oro</t>
  </si>
  <si>
    <t>Ruba il 40% dell'attacco.</t>
  </si>
  <si>
    <t>Converte tutti i danni da bruciatura in campo in uno scudo protettivo permanente.</t>
  </si>
  <si>
    <t>Ogni abilità applica l'effetto di Fiamme della Fenice.</t>
  </si>
  <si>
    <t>Bonus ATT: 18% | Bonus DIF: 24% | Critico: 90 | Sanguisuga: 60</t>
  </si>
  <si>
    <t>450.563 / 652.793</t>
  </si>
  <si>
    <t>44.804 / 55.477</t>
  </si>
  <si>
    <t>Nirvana può attivarsi una volta in più (intervallo 15s).</t>
  </si>
  <si>
    <t>Alla resurrezione di Nirvana, aumenta permanentemente l'ATT del 25% e ottiene 25 accelerazione.</t>
  </si>
  <si>
    <t>8.459 / 11384</t>
  </si>
  <si>
    <t>Bonus Salute: 12.00% | Precisione: 108.0 | Accelerazione: 9.0</t>
  </si>
  <si>
    <t>1102 / 1160</t>
  </si>
  <si>
    <t>Pegasus Ryuseiken (Arcano)</t>
  </si>
  <si>
    <t>Lv 1: Ryuseiken su 3 nemici (280% ATT) con respingimento forzato (ignora immunità/benedizione). Lv 2: Più prob. crit se usato sugli stessi bersagli. Lv 3: DAN 330% ATT. Inizio: 1.400s | Fine: 2.10s | Cosmos DANNO: 130</t>
  </si>
  <si>
    <t>Pegasus Charge (Ciclo)</t>
  </si>
  <si>
    <t>Lv 1: Calcio volante su 1 bersaglio (330% ATT) e atterramento per 3s. Lv 2: DAN 360% ATT. Lv 3: Atterramento 4s. Lv 4: DAN 390% ATT. Inizio: 0.500s | Fine: 0.60s | Ritardo: 3.00s | Ricarica: 10.00s | Cosmos ATT: 1300 | Cosmos DANNO: 600</t>
  </si>
  <si>
    <t>Protezione di Pegasus (Passivo)</t>
  </si>
  <si>
    <t>Lv 1: Subendo danni da abilità, ha 50% di probabilità di dimezzarli. Lv 2: Reagisce con Pegasus Charge quando un nemico viene lanciato in aria. Lv 3: Probabilità salita al 65%.</t>
  </si>
  <si>
    <t>Brucia Cosmo (Passivo)</t>
  </si>
  <si>
    <t>Lv 1: Ottiene 1 livello di [Spirito Ardente] (recupero cosmo +6%, max 10 livelli) ogni volta che subisce danni pari al 10% dei PS max. Lv 2: Ottiene livelli extra da controlli/interruzioni. Lv 3: Bonus recupero cosmo portato a 10% per livello.</t>
  </si>
  <si>
    <t>Pegasus Gold Cloth [Seiya - Esclusivo]</t>
  </si>
  <si>
    <t>SCHEDA PERSONAGGIO: Shion (Ariete Surplice)</t>
  </si>
  <si>
    <t>Identifica le abilità nemiche riducendo la loro precisione del 10% se colpiscono di nuovo.</t>
  </si>
  <si>
    <t>Riduzione precisione portata al 15%.</t>
  </si>
  <si>
    <t>Con salute &lt; 30%, le cure ricevute aumentano del 50%.</t>
  </si>
  <si>
    <t>Con salute &lt; 30%, la probabilità di Protezione di Pegasus sale al 100%.</t>
  </si>
  <si>
    <t>Bonus Salute: 15% | Bonus ATT: 15% | Bonus DIF: 15% | Critico: 90</t>
  </si>
  <si>
    <t>Shion (Ariete Surplice)</t>
  </si>
  <si>
    <t>SCHEDA PERSONAGGIO: Niobé (Stella Terrestre delle Tenebre)</t>
  </si>
  <si>
    <t>Per ogni alleato sconfitto, DAN di Seiya +15%. Se è l'ultimo in vita, recupera subito tutto il cosmo.</t>
  </si>
  <si>
    <t>DAN aumentati del 25% per alleato sconfitto; se ultimo in vita diventa invincibile per 3s e il Ryuseiken colpisce tutti i nemici.</t>
  </si>
  <si>
    <t>Bonus Attacco: 7.50% | Tenacia: 114.0 | Bonus Difesa: 15.60%</t>
  </si>
  <si>
    <t>2023-05-31</t>
  </si>
  <si>
    <t>Bonus Difesa: 26.40% | Sanguisuga: 48.0 | Bonus Salute: 6.30%</t>
  </si>
  <si>
    <t>33.944 / 55.477</t>
  </si>
  <si>
    <t>Niobé (Stella Terrestre delle Tenebre)</t>
  </si>
  <si>
    <t>10.965 / 11384</t>
  </si>
  <si>
    <t>Stella Terrestre delle Tenebre</t>
  </si>
  <si>
    <t>Lv 1: Particelle di cristallo su nemici (100% ATT + 10% PS attuali del bersaglio) e recupero salute pari al 100% dell'ATT inflitto. Lv 2: 150% ATT + 15% PS attuali. Lv 3: Colpo sicuro, immune a interruzioni e controlli durante l'esecuzione. Inizio: 4.130s | Fine: 4.70s | Cosmos DANNO: 268</t>
  </si>
  <si>
    <t>Lv 1: Sacrifica il 20% dei PS max per creare uno scudo di cristallo pari al 100% dei PS sacrificati (durata 6s, cumulabile; non si lancia se PS &lt; 20%). Lv 2: Con scudo attivo, danni abilità subiti ridotti del 30%. Lv 3: Valore scudo pari al 120% dei PS sacrificati. Lv 4: Danni abilità ridotti del 40%. Inizio: 1.300s | Fine: 2.00s | Ritardo: 6.00s | Ricarica: 12.00s | Cosmos ATT: 1800</t>
  </si>
  <si>
    <t>Guardiano (Passivo)</t>
  </si>
  <si>
    <t>Lv 1: Più bassi sono i PS di Shion, minore è il DAN ricevuto (1% in meno per ogni 1% di PS persi, max 35%). Lv 2: Riduzione DAN fino al 40%. Lv 3: Riduzione DAN fino al 50%.</t>
  </si>
  <si>
    <t>Eredità dell'Ariete (Innesco)</t>
  </si>
  <si>
    <t>Lv 1: Subendo DAN pari al 20% dei PS max, potenzia il Cloth di un alleato posteriore (+8% ATT e vel. ATT per 8s, max 5 livelli). Lv 2: Con 15% PS max di DAN subiti, potenzia il Cloth di due alleati posteriori. Lv 3: Cloth potenziato aumenta ATT e vel. ATT del 12%.</t>
  </si>
  <si>
    <t>2023-03-29</t>
  </si>
  <si>
    <t>Ariete Surplice [Shion - Esclusivo]</t>
  </si>
  <si>
    <t>48.968 / 55.477</t>
  </si>
  <si>
    <t>8.364 / 11384</t>
  </si>
  <si>
    <t>Per ogni 1% di salute persa, aumenta la velocità di recupero cosmo del 1.5% (max 50%).</t>
  </si>
  <si>
    <t>1001 / 1160</t>
  </si>
  <si>
    <t>Velocità recupero cosmo max 100%.</t>
  </si>
  <si>
    <t>170 / 197</t>
  </si>
  <si>
    <t>Con Crystal Wall al massimo, DAN da abilità ridotti dell'80% e riflessione attacchi base nei primi 3s.</t>
  </si>
  <si>
    <t>All'inizio, scudo di cristallo di gruppo (senza valore ma riduce DAN abilità del 80% per 5s).</t>
  </si>
  <si>
    <t>Bonus Salute: 18% | Bonus ATT: 12% | Bonus DIF: 18% | Tenacia: 120</t>
  </si>
  <si>
    <t>Deep Fragrance (Arcano)</t>
  </si>
  <si>
    <t>Lv 1: Nube tossica su 3 nemici (220% ATT) e [veleno] (30% ATT ogni 0.5s per 3s). Se il bersaglio subisce danni (veleno, sanguinamento, bruciatura), la durata aumenta di 1s. Lv 2: DAN 240% ATT, veleno 35% ATT. Lv 3: DAN 260% ATT, veleno 40% ATT. Inizio: 0.930s | Fine: 2.10s | Cosmos DANNO: 346</t>
  </si>
  <si>
    <t>Toxic Cloud (Ciclo)</t>
  </si>
  <si>
    <t>Lv 1: Nube tossica attorno a sé, schivata +40% per 3s. Lv 2: I nemici che attaccano Niobe ricevono il veleno (intervallo 3s). Lv 3: Schivata +80%. Lv 4: Veleno applicato agli attaccanti con intervallo di 2s e durata 4s. Inizio: 0.660s | Fine: 6.77s | Ritardo: 4.30s | Ricarica: 13.00s | Cosmos ATT: 1730</t>
  </si>
  <si>
    <t>Mano Avvelenata (Passivo)</t>
  </si>
  <si>
    <t>Lv 1: Attacco normale colpisce con priorità i nemici avvelenati (tutti se multipli), infliggendo il 50% di danni extra. Lv 2: Danni extra 75%. Lv 3: Danni extra 100%.</t>
  </si>
  <si>
    <t>Eredità dell'Ariete potenzia contemporaneamente i Cloth di tre alleati della fila posteriore.</t>
  </si>
  <si>
    <t>Abissale (Innesco)</t>
  </si>
  <si>
    <t>Lv 1: Con 3 o più nemici avvelenati, entra in una pozza di veleno non bersagliabile e recupera 8% PS/sec per 5s (intervallo 10s; non si attiva se PS &gt; 80%). Lv 2: Recupero PS 12%. Lv 3: Recupero PS 16%.</t>
  </si>
  <si>
    <t>Eredità dell'Ariete potenzia in modo permanente i Cloth di tutti gli alleati.</t>
  </si>
  <si>
    <t>Bonus Salute: 19.20% | Effetto Cura Ricevuta: 6.00%</t>
  </si>
  <si>
    <t>Bonus Difesa: 26.40% | Velocità Attacco: 7.50% | Fermezza: 72.0</t>
  </si>
  <si>
    <t>Stella della Terra Oscura Surplice [Niobe - Esclusivo]</t>
  </si>
  <si>
    <t>Durata veleno di Deep Fragrance estesa di 1.5s.</t>
  </si>
  <si>
    <t>Deep Fragrance stordisce per 0.5s ogni 1.5s.</t>
  </si>
  <si>
    <t>I nemici avvelenati subiscono danni aggiuntivi pari al 10% della salute attuale (max 500% ATT di Niobe, intervallo 4s).</t>
  </si>
  <si>
    <t>Danni aggiuntivi pari al 15% della salute attuale (max 1000% ATT di Niobe, intervallo 3s).</t>
  </si>
  <si>
    <t>Bonus Salute: 18% | Bonus ATT: 15% | Bonus DIF: 12% | Precisione: 90</t>
  </si>
  <si>
    <t>La durata di Toxic Cloud aumenta di 1 secondo.</t>
  </si>
  <si>
    <t>Toxic Cloud si applica anche a 1 altro alleato (con priorità nella stessa fila).</t>
  </si>
  <si>
    <t>Bonus Salute: 12.00% | Schivata: 96.0 | Bonus Difesa: 16.80%</t>
  </si>
  <si>
    <t>SCHEDA PERSONAGGIO: Shiryu (Drago d'Oro)</t>
  </si>
  <si>
    <t>Shiryu (Drago d'Oro)</t>
  </si>
  <si>
    <t>SCHEDA PERSONAGGIO: Orphée (Lira)</t>
  </si>
  <si>
    <t>Drago d'Oro</t>
  </si>
  <si>
    <t>Orphée (Lira)</t>
  </si>
  <si>
    <t>2023-09-06</t>
  </si>
  <si>
    <t>560.941 / 652.793</t>
  </si>
  <si>
    <t>Lira</t>
  </si>
  <si>
    <t>35.406 / 55.477</t>
  </si>
  <si>
    <t>10.883 / 11384</t>
  </si>
  <si>
    <t>SCHEDA PERSONAGGIO: Hyôga (Cigno d'Oro)</t>
  </si>
  <si>
    <t>2023-03-01</t>
  </si>
  <si>
    <t>Rozan ShoryuHa (Arcano)</t>
  </si>
  <si>
    <t>Lv 1: Drago frontale (450% ATT) e lancia [in aria] il nemico anteriore per 2s (interruzione assoluta). Lv 2: DAN 500% ATT, in aria per 3s. Lv 3: DAN 550% ATT, in aria per 4s. Inizio: 1.900s | Fine: 2.30s | Cosmos DANNO: 900</t>
  </si>
  <si>
    <t>Scudo del Drago (Ciclo)</t>
  </si>
  <si>
    <t>Lv 1: Alza lo scudo del drago (+40% DIF, immunità a in aria e atterramento). Lv 2: Recupera 15% salute in 5s. Lv 3: Recupero PS 20%, DIF +50%. Lv 4: Recupero PS 25%. Inizio: 0.001s | Fine: 5.80s | Ritardo: 4.50s | Ricarica: 15.00s | Cosmos ATT: 1950</t>
  </si>
  <si>
    <t>1018 / 1160</t>
  </si>
  <si>
    <t>Potenziamento Vitale (Passivo)</t>
  </si>
  <si>
    <t>Lv 1: PS massimi aumentati del 25%. Lv 2: Aumenta i PS di tutti gli alleati (del 50% dell'effetto di Shiryu). Lv 3: Aumenta i PS degli alleati del 60% dell'effetto.</t>
  </si>
  <si>
    <t>Ultimo Colpo (Innesco)</t>
  </si>
  <si>
    <t>Hyôga (Cigno d'Oro)</t>
  </si>
  <si>
    <t>Lv 1: Morendo, brucia il cosmo per colpire il nemico con l'ATT più alto (600% ATT + 1% per ogni 500 punti cosmo accumulati, max 900%). Lv 2: +2% per 500 cosmo (max 1200%). Lv 3: +3% per 500 cosmo (max 1500%).</t>
  </si>
  <si>
    <t>Stringer Fine (Arcano)</t>
  </si>
  <si>
    <t>Lv 1: Lega l'avversario con le corde della lira (danno continuativo per 3s, da 10% ATT a salire dell'1% ogni 0.1s; stato [legato]: né Orfeo né il bersaglio possono agire o schivare). Lv 2: Durata 3.5s. Lv 3: Durata 4s. Inizio: 1.267s | Fine: 4.30s | Cosmos DANNO: 20</t>
  </si>
  <si>
    <t>Cigno d'Oro</t>
  </si>
  <si>
    <t>Deathtrip Serenade (Ciclo)</t>
  </si>
  <si>
    <t>Lv 1: Melodia che induce [sonno] ai nemici per 2s (si svegliano se subiscono tecniche segrete). Lv 2: Chi si sveglia entra in [spirito vagante] (-50% vel. ATT per 4s). Lv 3: Sonno dura 3s. Lv 4: Spirito vagante riduce vel. ATT del 100%. Inizio: 0.900s | Fine: 1.23s | Ritardo: 5.50s | Ricarica: 14.00s | Cosmos ATT: 1268 | Cosmos DANNO: 174</t>
  </si>
  <si>
    <t>Stringer Nocturne (Ciclo)</t>
  </si>
  <si>
    <t>Dragon Gold Cloth [Shiryu - Esclusivo]</t>
  </si>
  <si>
    <t>Lv 1: Onde sonore su 2 nemici (200% ATT). Lv 2: Su 3 nemici casuali. Lv 3: Riduce la DIF del bersaglio del 100% per 5s. Inizio: 0.960s | Fine: 2.40s | Ritardo: 3.40s | Ricarica: 10.50s | Cosmos ATT: 904 | Cosmos DANNO: 225</t>
  </si>
  <si>
    <t>Stringer Resonance (Innesco)</t>
  </si>
  <si>
    <t>Lv 1: Quando i bersagli sotto controllo di Orfeo subiscono controlli da alleati, Orfeo recupera 1500 cosmo e attiva [risonanza] (danno puro pari al 100% ATT di Orfeo). Lv 2: Risonanza al 200% ATT. Lv 3: Risonanza al 300% ATT.</t>
  </si>
  <si>
    <t>2023-03-22</t>
  </si>
  <si>
    <t>Scudo del Drago riduce i danni subiti del 25%.</t>
  </si>
  <si>
    <t>401.124 / 652.793</t>
  </si>
  <si>
    <t>Riduzione danni 50% e non richiede di mantenere lo scudo alzato.</t>
  </si>
  <si>
    <t>50.420 / 55.477</t>
  </si>
  <si>
    <t>Ogni calo del 10% della DIF aumenta l'ATT del 2% (max 100%).</t>
  </si>
  <si>
    <t>Lira Silver Cloth [Orfeo - Esclusivo]</t>
  </si>
  <si>
    <t>7.073 / 11384</t>
  </si>
  <si>
    <t>Ogni calo del 10% della DIF aumenta sanguisuga e velocità d'attacco dell'1% (max 50%).</t>
  </si>
  <si>
    <t>Bonus Salute: 15% | Bonus ATT: 15% | Bonus DIF: 15% | Tenacia: 90</t>
  </si>
  <si>
    <t>SCHEDA PERSONAGGIO: Zelos (Stella della Terra Sinistra)</t>
  </si>
  <si>
    <t>Stringer Fine cura Orfeo per il 50% dei danni inflitti.</t>
  </si>
  <si>
    <t>Cura pari al 100% dei danni inflitti.</t>
  </si>
  <si>
    <t>Diamond Dust (Arcano)</t>
  </si>
  <si>
    <t>Durante Stringer Fine, Orfeo è immune ai controlli non interrompibili.</t>
  </si>
  <si>
    <t>Lv 1: Aria congelante su 3 nemici (275% ATT) e [congelamento] per 2.5s. Lv 2: Congelamento per 3.5s. Lv 3: DAN 310% ATT. Inizio: 2.300s | Fine: 3.53s | Cosmos DANNO: 104</t>
  </si>
  <si>
    <t>Durante Stringer Nocturne, assorbe 150 cosmo ogni 0.1s ed è immune ai danni altrui.</t>
  </si>
  <si>
    <t>Lv 1: Aria congelante su un nemico posteriore (220% ATT) e [in aria] per 3s (interruzione assoluta). Lv 2: DAN 260% ATT. Lv 3: In aria per 4s. Lv 4: DAN 300% ATT. Inizio: 1.200s | Fine: 1.83s | Ritardo: 2.90s | Ricarica: 9.80s | Cosmos ATT: 960 | Cosmos DANNO: 600</t>
  </si>
  <si>
    <t>All'inizio aumenta la DIF del 150% extra, poi diminuisce del 12.5% ogni secondo fino a 0.</t>
  </si>
  <si>
    <t>Percezione del Gelo (Innesco)</t>
  </si>
  <si>
    <t>Bonus Salute: 12% | Bonus ATT: 18% | Bonus DIF: 12% | Precisione: 120</t>
  </si>
  <si>
    <t>Lv 1: Quando un nemico viene congelato, recupera subito 1000 cosmo (intervallo 2s). Lv 2: Recupera 1200 cosmo e fa recuperare 600 cosmo agli alleati. Lv 3: Recupera 1400 cosmo e 700 agli alleati.</t>
  </si>
  <si>
    <t>Protezione del Ghiaccio (Passivo)</t>
  </si>
  <si>
    <t>Lv 1: Immunità a congelamento e rallentamento; durata di altri controlli ridotta del 30%. Lv 2: Durata controlli ridotta del 45%. Lv 3: Durata controlli ridotta del 60%.</t>
  </si>
  <si>
    <t>Cignus Gold Cloth [Hyoga - Esclusivo]</t>
  </si>
  <si>
    <t>I danni di Orfeo non svegliano i bersagli da Deathtrip Serenade.</t>
  </si>
  <si>
    <t>La durata del sonno di Deathtrip Serenade aumenta a 2 secondi.</t>
  </si>
  <si>
    <t>Attacchi e abilità hanno 50% di probabilità di applicare Aria Gelida (-15 vel. per 5s, max 4 strati).</t>
  </si>
  <si>
    <t>Attacchi e abilità applicano Aria Gelida al 100%.</t>
  </si>
  <si>
    <t>Chi attacca Hyoga subisce Aria Gelida (intervallo 2s).</t>
  </si>
  <si>
    <t>Quando Aria Gelida raggiunge il massimo degli strati, si disperde congelando il bersaglio per 4s.</t>
  </si>
  <si>
    <t>Bonus Difesa: 26.40% | Velocità Attacco: 7.50% | Accelerazione: 9.0</t>
  </si>
  <si>
    <t>All'inizio aumenta la DIF del 400% extra, poi diminuisce del 25% ogni secondo fino a 0.</t>
  </si>
  <si>
    <t>Alla morte letale di un alleato, lo rinchiude in una [Freezing Coffin] (immunità ai danni e recupero 15% PS max per 2s, 1 volta per battaglia).</t>
  </si>
  <si>
    <t>Bonus Salute: 12.00% | Effetto Cura Ricevuta: 6.00% | Bonus Difesa: 15.60%</t>
  </si>
  <si>
    <t>Freezing Coffin aumenta il recupero PS al 30% della salute massima.</t>
  </si>
  <si>
    <t>Bonus Attacco: 7.50% | Fermezza: 132.0 | Bonus Salute: 6.30%</t>
  </si>
  <si>
    <t>Bonus Attacco: 7.50% | Critico: 96.0 | Bonus Difesa: 15.60%</t>
  </si>
  <si>
    <t>Zelos (Stella della Terra Sinistra)</t>
  </si>
  <si>
    <t>Bonus Difesa: 26.40% | Velocità Attacco: 7.50% | Bonus Salute: 6.30%</t>
  </si>
  <si>
    <t>Stella della Terra Sinistra</t>
  </si>
  <si>
    <t>2023-06-14</t>
  </si>
  <si>
    <t>577.908 / 652.793</t>
  </si>
  <si>
    <t>35.002 / 55.477</t>
  </si>
  <si>
    <t>Jumping Smash (Arcano)</t>
  </si>
  <si>
    <t>Lv 1: Balza sulla fila posteriore infliggendo 200% ATT e atterrandoli per 2s; si applica uno scudo del 15% dei PS max per ogni nemico atterrato (durata 6s). Lv 2: DAN 230% ATT, atterramento 3s. Lv 3: Scudo 25% PS max per nemico atterrato. Inizio: 1.300s | Fine: 2.50s</t>
  </si>
  <si>
    <t>Venom Spray (Ciclo)</t>
  </si>
  <si>
    <t>Lv 1: Sputa veleno al nemico con ATT maggiore (200% ATT) riducendo la vel. ATT del 40% per 6s. Lv 2: DAN 260% ATT. Lv 3: Riduzione vel. ATT 60%. Lv 4: Durata riduzione vel. ATT aumentata a 8s. Inizio: 1.400s | Fine: 1.80s | Ritardo: 3.50s | Ricarica: 7.50s | Cosmos ATT: 880 | Cosmos DANNO: 180</t>
  </si>
  <si>
    <t>Copertura di Muco (Innesco)</t>
  </si>
  <si>
    <t>Lv 1: Ricevendo danni abilità, avvolge anche l'attaccante in uno strato di muco (fino a 6 livelli: -6% DAN per Zelos, -6% DAN inflitto per il nemico; non disperdibile). Lv 2: Riduzione del 8%. Lv 3: Riduzione del 10%.</t>
  </si>
  <si>
    <t>Prepotenza (Innesco)</t>
  </si>
  <si>
    <t>Lv 1: Quando un nemico ha salute inferiore al 35%, Zelos ottiene +15% di riduzione DAN subito (cumulabile e non disperdibile). Lv 2: Riduzione DAN 20%. Lv 3: Riduzione DAN 25%.</t>
  </si>
  <si>
    <t>Stella della Terra Sinistra Surplice [Zelos - Esclusivo]</t>
  </si>
  <si>
    <t>Venom Spray riduce anche la velocità di recupero cosmo del 60%.</t>
  </si>
  <si>
    <t>Venom Spray attacca simultaneamente i 2 nemici con ATT maggiore.</t>
  </si>
  <si>
    <t>Copertura di Muco si estende a tutti gli alleati della fila anteriore (effetto al 50%).</t>
  </si>
  <si>
    <t>Copertura di Muco si estende a tutti gli alleati (effetto al 50%).</t>
  </si>
  <si>
    <t>Bonus Salute: 12% | Bonus ATT: 18% | Bonus DIF: 15% | Sanguisuga: 60</t>
  </si>
  <si>
    <t>Prepotenza si attiva quando un nemico scende sotto il 50% di salute.</t>
  </si>
  <si>
    <t>Prepotenza ha effetto anche su un alleato della fila anteriore.</t>
  </si>
  <si>
    <t>Bonus Attacco: 11.10% | Fermezza: 132.0</t>
  </si>
  <si>
    <t>Bonus Difesa: 26.40% | Velocità Attacco: 7.50% | Tenacia: 75.0</t>
  </si>
  <si>
    <t>SCHEDA PERSONAGGIO: Myû (Stella della Terra Incantata)</t>
  </si>
  <si>
    <t>SCHEDA PERSONAGGIO: Shun (Andromeda d'Oro)</t>
  </si>
  <si>
    <t>Myû (Stella della Terra Incantata)</t>
  </si>
  <si>
    <t>Stella della Terra Incantata</t>
  </si>
  <si>
    <t>Shun (Andromeda d'Oro)</t>
  </si>
  <si>
    <t>Andromeda d'Oro</t>
  </si>
  <si>
    <t>2023-04-26</t>
  </si>
  <si>
    <t>459.453 / 652.793</t>
  </si>
  <si>
    <t>2023-05-24</t>
  </si>
  <si>
    <t>47.097 / 55.477</t>
  </si>
  <si>
    <t>437.365 / 652.793</t>
  </si>
  <si>
    <t>48.478 / 55.477</t>
  </si>
  <si>
    <t>1059 / 1160</t>
  </si>
  <si>
    <t>8.365 / 11384</t>
  </si>
  <si>
    <t>180 / 197</t>
  </si>
  <si>
    <t>Evoluzione Psicocinetica (Arcano)</t>
  </si>
  <si>
    <t>Nebula Chain - Circle (Arcano)</t>
  </si>
  <si>
    <t>Lv 1: Inizia come Uovo; al max cosmo ipnotizza tutti ([sonno] per 1.5s anche agli alleati) ed evolve. Forme: Uovo (riceve +30% attacchi base, -30% abilità), Larva (+15/20% ATT, usa Silky Thread), Bozzolo (+30/40% DIF, -10% DAN ricevuti), Farfalla (forma finale, usa Fairy Thronging, non fa attacchi base). Lv 2-3: Bonus crescenti e durata sonno aumentata a 2.5s (senza colpire gli alleati nella forma finale). Inizio: 1.767s | Fine: 2.33s</t>
  </si>
  <si>
    <t>Lv 1: Catene riducono i danni subiti dagli alleati del 35% per 5s; 2 alleati anteriori recuperano salute (180% ATT) e ottengono uno scudo equivalente. Lv 2: DIF +40%. Lv 3: DAN ridotti al 40%, durata 6s. Inizio: 0.800s | Fine: 2.50s</t>
  </si>
  <si>
    <t>Isects Talent (Passivo)</t>
  </si>
  <si>
    <t>Nebula Chain - Square (Ciclo)</t>
  </si>
  <si>
    <t>Lv 1: Nelle diverse forme usa: Horrible Spray (veleno su fila posteriore, max 3 strati), Silky Thread (attacca fila anteriore e blocca per 2-3.5s), Fairy Thronging (farfalle sulla fila posteriore, riduce cosmo ottenibile del 40-70% in 5s).</t>
  </si>
  <si>
    <t>Lv 1: Infligge 165% ATT alla fila anteriore e applica [shock elettrico] (danni subiti +25% e rigidità, 50% probabilità). Lv 2: DAN 195% ATT. Lv 3: Probabilità shock 75%. Lv 4: DAN 225% ATT. Inizio: 0.700s | Fine: 2.20s | Ritardo: 5.80s | Ricarica: 12.00s | Cosmos ATT: 1410 | Cosmos DANNO: 424</t>
  </si>
  <si>
    <t>Messaggero degli Inferi (Passivo)</t>
  </si>
  <si>
    <t>Formazione Difensiva (Alone)</t>
  </si>
  <si>
    <t>Lv 1: La difesa degli alleati nella fila anteriore aumenta del 25%. Lv 2: Difesa +35%. Lv 3: Difesa +45%.</t>
  </si>
  <si>
    <t>Lv 1: Il limite di cosmo di Myu è il 50% del normale, consuma il 50% di cosmo per la tecnica segreta e recupera cosmo al 120% della velocità normale. Lv 2: Recupero cosmo 140%. Lv 3: Recupero cosmo 160%.</t>
  </si>
  <si>
    <t>Difesa Automatica (Passivo)</t>
  </si>
  <si>
    <t>Golden Dust (Innesco)</t>
  </si>
  <si>
    <t>Lv 1: Le catene difendono Shun annullando il danno abilità ricevuto (intervallo 8s). Lv 2: Intervallo 7s. Lv 3: Intervallo 6s.</t>
  </si>
  <si>
    <t>Lv 1: Ricevendo DAN totale pari al 25% dei PS max, disperde Ambienti, Terreni, debuff e controlli della squadra. Lv 2: Soglia portata al 20% PS max. Lv 3: Soglia al 15% PS max.</t>
  </si>
  <si>
    <t>Andromeda Gold Cloth [Shun - Esclusivo]</t>
  </si>
  <si>
    <t>Stella della Terra Misteriosa Surplice [Myu - Esclusivo]</t>
  </si>
  <si>
    <t>Nebula Chain - Square applica sempre lo stato shock elettrico.</t>
  </si>
  <si>
    <t>Gli attacchi normali di Shun applicano lo shock elettrico.</t>
  </si>
  <si>
    <t>Ogni evoluzione recupera immediatamente il 20% della salute massima.</t>
  </si>
  <si>
    <t>Nebula Chain - Circle cura e dà scudo pari al 260% dell'ATT.</t>
  </si>
  <si>
    <t>Recupero salute del 40% ad ogni evoluzione.</t>
  </si>
  <si>
    <t>Nebula Chain - Circle ha effetto curativo e di scudo su tutta la squadra.</t>
  </si>
  <si>
    <t>Silky Thread colpisce tutti i membri della fila anteriore.</t>
  </si>
  <si>
    <t>SCHEDA PERSONAGGIO: Charon (Acheron)</t>
  </si>
  <si>
    <t>Fairy Thronging azzera il cosmo ottenibile del bersaglio e riduce la vel. ATT di 30 punti.</t>
  </si>
  <si>
    <t>Bonus Salute: 18% | Bonus ATT: 12% | Bonus DIF: 18% | Schivata: 90</t>
  </si>
  <si>
    <t>Formazione Difensiva ha effetto su tutta la squadra.</t>
  </si>
  <si>
    <t>Formazione Difensiva estende l'effetto di Difesa Automatica agli altri alleati (intervallo 8s).</t>
  </si>
  <si>
    <t>Quando Golden Dust si attiva, Myu diventa immune a qualsiasi danno per 2.5 secondi.</t>
  </si>
  <si>
    <t>Ogni evoluzione dà +20 accelerazione permanente; in forma Farfalla aumenta la schivata del 100% contro gli attacchi base e dà immunità ai controlli.</t>
  </si>
  <si>
    <t>Bonus Difesa: 26.40% | Schivata: 96.0 | Effetto Cura: 3.30%</t>
  </si>
  <si>
    <t>Charon (Acheron)</t>
  </si>
  <si>
    <t>Acheron</t>
  </si>
  <si>
    <t>Bonus Difesa: 26.40% | Schivata: 96.0 | Precisione: 69.0</t>
  </si>
  <si>
    <t>2023-08-30</t>
  </si>
  <si>
    <t>46.610 / 55.477</t>
  </si>
  <si>
    <t>8.850 / 11384</t>
  </si>
  <si>
    <t>Edding Current Crusher (Arcano)</t>
  </si>
  <si>
    <t>Lv 1: Travolge tutti i nemici (130% ATT) e crea le [Acque dell'Acheronte] (-20% cure, -20% sanguisuga, +10% prob. crit ricevuta per 10s). Lv 2: Cure/sanguisuga -30%, prob. crit +20%. Lv 3: Cure/sanguisuga -40%, prob. crit +30%. Inizio: 2.066s | Fine: 2.97s | Cosmos DANNO: 268</t>
  </si>
  <si>
    <t>Charged Strike (Ciclo)</t>
  </si>
  <si>
    <t>Lv 1: DAN 140% ATT a un nemico casuale e resetta i timer dei debuff. Lv 2: DAN 160% ATT. Lv 3: Se critico, rimuove tutti i buff del bersaglio. Lv 4: DAN 180% ATT. Inizio: 1.633s | Fine: 2.20s | Ritardo: 2.10s | Ricarica: 5.00s | Cosmos ATT: 568 | Cosmos DANNO: 390</t>
  </si>
  <si>
    <t>Rolling Oar (Ciclo)</t>
  </si>
  <si>
    <t>Lv 1: Posizione Rolling Oar per 6s (immune a danni inferiori al 15% dei PS max e riflette i controlli; interrotto se subisce danni superiori al 15%). Lv 2: Immunità fino al 20% dei PS max. Lv 3: Immunità fino al 25% dei PS max. Inizio: 0.900s | Fine: 7.60s | Ritardo: 3.80s | Ricarica: 13.00s | Cosmos ATT: 1176</t>
  </si>
  <si>
    <t>Signore dell'Acheronte (Innesco)</t>
  </si>
  <si>
    <t>Lv 1: Quando un alleato (o sé stesso) fa un critico, Caron recupera il 5% dei PS max (intervallo 2s). Lv 2: Recupera 10% PS max. Lv 3: Recupera 15% PS max.</t>
  </si>
  <si>
    <t>Stella della Fessura del Cielo Surplice [Caron - Esclusivo]</t>
  </si>
  <si>
    <t>Intervallo Signore dell'Acheronte ridotto a 1.5s.</t>
  </si>
  <si>
    <t>Durante Rolling Oar recupera 800 cosmo al secondo.</t>
  </si>
  <si>
    <t>Durante Rolling Oar recupera 1200 cosmo al secondo.</t>
  </si>
  <si>
    <t>SCHEDA PERSONAGGIO: Raimi (Stella Terrestre Strisciante)</t>
  </si>
  <si>
    <t>Tutti i debuff applicati dalle Acque dell'Acheronte sono aumentati del 100%.</t>
  </si>
  <si>
    <t>Bonus Salute: 18% | Bonus ATT: 18% | Bonus DIF: 18% | Precisione: 120</t>
  </si>
  <si>
    <t>Se Charged Strike infligge critico, stordisce per 2.5s.</t>
  </si>
  <si>
    <t>Durante le Acque dell'Acheronte, l'attacco normale di Caron lancia Charged Strike al posto dell'abilità ciclica.</t>
  </si>
  <si>
    <t>Bonus Salute: 12.00% | Schivata: 96.0 | Bonus Difesa: 15.30%</t>
  </si>
  <si>
    <t>Raimi (Stella Terrestre Strisciante)</t>
  </si>
  <si>
    <t>Bonus Attacco: 7.50% | Tenacia: 114.0 | Danno Crit: 66.0</t>
  </si>
  <si>
    <t>Stella Terrestre Strisciante</t>
  </si>
  <si>
    <t>2024-01-03</t>
  </si>
  <si>
    <t>50.432 / 55.477</t>
  </si>
  <si>
    <t>7.635 / 11384</t>
  </si>
  <si>
    <t>1047 / 1160</t>
  </si>
  <si>
    <t>178 / 197</t>
  </si>
  <si>
    <t>Worm's Bind (Arcano)</t>
  </si>
  <si>
    <t>Lv 1: Vermi imprigionano il nemico con ATT maggiore per 3s (danno reale 87.5% ATT ogni 0.5s); alla fine infligge DAN pari al 10% dei PS max del bersaglio (max 500% ATT). Lv 2: DAN finale 15% PS max (max 750% ATT). Lv 3: Rimuove 1 buff al secondo e lo trasferisce a sé. Inizio: 1.499s | Fine: 1.75s | Cosmos DANNO: 600</t>
  </si>
  <si>
    <t>Earth Caster (Ciclo)</t>
  </si>
  <si>
    <t>Lv 1: Entra in stato sommerso (non colpibile) mentre i vermi attaccano un nemico casuale bloccando le cure e infliggendo 40% ATT ogni 0.5s (durata max 6s). Lv 2: 50% ATT ogni 0.5s. Lv 3: Cure nemiche trasferite a Raimi. Lv 4: 60% ATT ogni 0.5s. Inizio: 1.233s | Fine: 5.97s | Ritardo: 5.10s | Ricarica: 12.00s | Cosmos ATT: 1112</t>
  </si>
  <si>
    <t>Worms Incursions (Ciclo)</t>
  </si>
  <si>
    <t>Lv 1: Vermi attaccano un nemico posteriore casuale (180% ATT) e disperdono i suoi buff. Lv 2: DAN 220% ATT. Lv 3: Applica [silenzio] per 3s. Inizio: 1.266s | Fine: 2.07s | Ritardo: 3.20s | Ricarica: 9.00s | Cosmos ATT: 793 | Cosmos DANNO: 225</t>
  </si>
  <si>
    <t>Haunted (Passivo)</t>
  </si>
  <si>
    <t>Lv 1: Subendo DAN superiore al 10% della salute attuale, riduce l'eccesso del 50%. Lv 2: Riduce l'eccesso del 55%. Lv 3: Riduce l'eccesso del 60%.</t>
  </si>
  <si>
    <t>Stella della Terra Latente Surplice [Raimi - Esclusivo]</t>
  </si>
  <si>
    <t>Durante Worm's Bind ruba il 30% di velocità d'attacco al secondo (mantenuto per 6s dopo la fine).</t>
  </si>
  <si>
    <t>Sottraggono 2 buff casuali al secondo trasferendoli a sé.</t>
  </si>
  <si>
    <t>Durante Earth Caster il bersaglio non può recuperare cosmo.</t>
  </si>
  <si>
    <t>Il cosmo che il bersaglio dovrebbe recuperare viene trasferito a Milo (sic, come da testo originale).</t>
  </si>
  <si>
    <t>Bonus Salute: 18% | Bonus ATT: 15% | Bonus DIF: 21% | Precisione: 120</t>
  </si>
  <si>
    <t>Worms Incursions colpisce 1 nemico extra della fila posteriore.</t>
  </si>
  <si>
    <t>Worms Incursions colpisce 2 nemici extra della fila posteriore.</t>
  </si>
  <si>
    <t>SCHEDA PERSONAGGIO: Pharaon (Stella Celeste dell'Animalità)</t>
  </si>
  <si>
    <t>Pharaon (Stella Celeste dell'Animalità)</t>
  </si>
  <si>
    <t>Stella Celeste dell'Animalità</t>
  </si>
  <si>
    <t>SCHEDA PERSONAGGIO: Dhoko - Maestro (Bilancia)</t>
  </si>
  <si>
    <t>429.487 / 652.793</t>
  </si>
  <si>
    <t>49.944 / 55.477</t>
  </si>
  <si>
    <t>Dhoko - Maestro (Bilancia)</t>
  </si>
  <si>
    <t>Balance of Curse (Arcano)</t>
  </si>
  <si>
    <t>Lv 1: Giudica il nemico con più DAN: sottrae il 40% dei PS attuali (max 3000% ATT) e li restituisce dopo 4s; cure ricevute -75%, i PS di Pharaon non possono scendere sotto quelli del bersaglio (non disperdibile). Lv 2: Se il bersaglio muore durante il giudizio, usa i PS sottratti per curare l'alleato con i PS più bassi. Lv 3: Sottrae il 50% dei PS attuali. Inizio: 2.233s | Fine: 3.63s | Cosmos DANNO: 600</t>
  </si>
  <si>
    <t>Dark Kiss (Ciclo)</t>
  </si>
  <si>
    <t>Lv 1: [Maledizione] di 4s sul nemico opposto (260% ATT; impedisce abilità e passive); se alla fine la salute è &lt; 35%, infligge 180% ATT di danno extra. Lv 2: DAN iniziale 300% ATT. Lv 3: Durata maledizione 6s. Lv 4: Danno extra 200% ATT. Inizio: 0.001s | Fine: 1.87s | Ritardo: 5.30s | Ricarica: 11.00s | Cosmos ATT: 1060 | Cosmos DANNO: 390</t>
  </si>
  <si>
    <t>Mana Ring (Ciclo)</t>
  </si>
  <si>
    <t>Lv 1: Suona l'arpa su 3 nemici frontali (120% ATT) e applica [silenzio] per 1.5s. Lv 2: DAN 140% ATT. Lv 3: Silenzio dura 2.5s. Inizio: 1.333s | Fine: 2.63s | Ritardo: 3.90s | Ricarica: 13.00s | Cosmos ATT: 1099 | Cosmos DANNO: 225</t>
  </si>
  <si>
    <t>Painful Sound (Alone)</t>
  </si>
  <si>
    <t>Lv 1: Riduce le cure dei nemici del 15%. Lv 2: Cure nemiche ridotte del 20%. Lv 3: Cure nemiche ridotte del 25%.</t>
  </si>
  <si>
    <t>Stella della Bestia Celeste Surplice [Pharaon - Esclusivo]</t>
  </si>
  <si>
    <t>46.124 / 55.477</t>
  </si>
  <si>
    <t>Dark Kiss disperde tutti i buff del bersaglio all'applicazione.</t>
  </si>
  <si>
    <t>Durata maledizione estesa a 8s e non può essere dispersa.</t>
  </si>
  <si>
    <t>Il prestito di PS di Balance of Curse viene restituito dopo 6s.</t>
  </si>
  <si>
    <t>Se il bersaglio muore durante Balance of Curse, Pharaon recupera immediatamente il 30% della vita max e 6000 cosmo.</t>
  </si>
  <si>
    <t>Bonus Salute: 18% | Bonus ATT: 15% | Bonus DIF: 12% | Schivata: 90</t>
  </si>
  <si>
    <t>Lv 1: Draghi dai pugni su tutti i nemici (220% ATT) e [silenzio] per 3s. Durante il lancio riflette tutti i danni e le abilità. Lv 2: DAN 240% ATT, silenzio 4s. Lv 3: DAN 260% ATT, silenzio 5s. Inizio: 0.866s | Fine: 2.40s | Cosmos DANNO: 265</t>
  </si>
  <si>
    <t>Rapid Bullet (Ciclo)</t>
  </si>
  <si>
    <t>Lv 1: Proiettili d'acqua su tutti i nemici (160% ATT) con respingimento di 1s. Lv 2: Se interrompe un'abilità nemica, ricarica -40%. Lv 3: Respingimento +2s. Lv 4: Ricarica -60% se interrompe. Inizio: 0.633s | Fine: 1.37s | Ritardo: 5.80s | Ricarica: 14.00s | Cosmos ATT: 1280 | Cosmos DANNO: 268</t>
  </si>
  <si>
    <t>L'effetto di riduzione cure di Painful Sound sale al 35%.</t>
  </si>
  <si>
    <t>Hardened Body (Innesco)</t>
  </si>
  <si>
    <t>Tutti i danni inflitti da Pharaon causano l'effetto moltiplicato di Painful Sound (durata 3.5s).</t>
  </si>
  <si>
    <t>Lv 1: Corpo temprato: ogni volta che riceve 1 danno ottiene 1 livello di Rid. DAN del 10% per 4s (cumulabile). Lv 2: Riduzione DAN 12% per livello. Lv 3: Riduzione DAN 14% per livello.</t>
  </si>
  <si>
    <t>Misopethamenos (Alone)</t>
  </si>
  <si>
    <t>Lv 1: Sorvegliando il sigillo, riduce la prob. di subire critico della fila posteriore del 20% e riduce del 40% i danni delle tecniche segrete degli Spectre. Lv 2: Prob. crit ridotta del 30%, danni Spectre ridotti del 60%. Lv 3: Prob. crit ridotta del 40%, danni Spectre ridotti del 80%.</t>
  </si>
  <si>
    <t>Bilancia Gold Cloth [Dhoko - Esclusivo]</t>
  </si>
  <si>
    <t>Ricarica di Rapid Bullet ridotta dell'80% se interrompe un nemico.</t>
  </si>
  <si>
    <t>Rozan Hakuryuha silenzia e impedisce gli attacchi normali.</t>
  </si>
  <si>
    <t>I debuff di Rozan Hakuryuha possono essere rimossi solo da purificazione forzata.</t>
  </si>
  <si>
    <t>Riduce la prob. crit di tutti gli alleati del 50% (sic) e i danni delle tecniche segrete degli Spectre dell'80%.</t>
  </si>
  <si>
    <t>Bonus Salute: 15% | Bonus ATT: 15% | Bonus Difesa: 15% | Precisione: 90</t>
  </si>
  <si>
    <t>SCHEDA PERSONAGGIO: Shion (Gran Papa)</t>
  </si>
  <si>
    <t>Ogni secondo aumenta precisione e schivata di tutti gli alleati dell'1% (fino a 30 volte).</t>
  </si>
  <si>
    <t>Ogni secondo aumenta ATT e prob. crit di tutti gli alleati del 2% (fino a 30 volte).</t>
  </si>
  <si>
    <t>Bonus Salute: 12.00% | Fermezza: 132.0 | Bonus Difesa: 15.60%</t>
  </si>
  <si>
    <t>Shion (Gran Papa)</t>
  </si>
  <si>
    <t>2023-12-27</t>
  </si>
  <si>
    <t>Lv 1: Frammenti di stelle psichici infliggono DAN reale pari al 350% ATT alla fila anteriore e riducono la DIF del 50% per 6s. Lv 2: DAN reale 400% ATT. Lv 3: Riduce i danni ricevuti del 50% per 6s dopo il lancio. Inizio: 1.900s | Fine: 2.77s | Cosmos DANNO: 424</t>
  </si>
  <si>
    <t>Lv 1: Imprigiona un nemico che subisce i propri attacchi/abilità per 3s (subisce il 50% del DAN riflesso). Lv 2: Durata 4s. Lv 3: DAN riflesso 75%. Lv 4: Durata 5s. Inizio: 0.300s | Fine: 1.37s | Ritardo: 6.00s | Ricarica: 12.00s | Cosmos ATT: 2160 | Cosmos DANNO: 600</t>
  </si>
  <si>
    <t>Protezione del Santuario (Ciclo)</t>
  </si>
  <si>
    <t>Lv 1: Scudo protettivo agli alleati pari al (livello del Cloth x 0.5%) dei PS max + bonus attributi Cloth del 20% per 8s. Lv 2: Bonus attributi Cloth del 30%. Lv 3: Bonus attributi Cloth del 40%. Inizio: 0.667s | Fine: 1.47s | Ritardo: 4.80s | Ricarica: 10.00s | Cosmos ATT: 1100</t>
  </si>
  <si>
    <t>Non Violenza (Alone)</t>
  </si>
  <si>
    <t>Lv 1: Riduce la prob. crit e il DAN critico di tutti i personaggi del 1.5%. Lv 2: Riduzione del 2%. Lv 3: Riduzione del 2.5%.</t>
  </si>
  <si>
    <t>Ariete Gold Cloth [Shion - Esclusivo]</t>
  </si>
  <si>
    <t>Riduzione DIF nemica e riduzione danni subiti portate al 75%.</t>
  </si>
  <si>
    <t>Riflesso di Crystal Wall portato al 100%.</t>
  </si>
  <si>
    <t>Protezione del Santuario si attiva automaticamente all'inizio della battaglia.</t>
  </si>
  <si>
    <t>Valore dello scudo raddoppiato (+100%).</t>
  </si>
  <si>
    <t>Bonus Salute: 15% | Bonus ATT: 15% | Bonus Difesa: 15% | Sanguisuga: 60</t>
  </si>
  <si>
    <t>SCHEDA PERSONAGGIO: Sylphide (Stella Celeste della Vittoria)</t>
  </si>
  <si>
    <t>Ogni 6s ripara il Cloth dell'alleato con meno salute (recupero PS pari al livello del Cloth x 1%).</t>
  </si>
  <si>
    <t>L'effetto di Non Violenza diventa valido **solo per i nemici**.</t>
  </si>
  <si>
    <t>Bonus Difesa: 26.40% | Sanguisuga: 48.0 | Bonus Attacco: 3.60%</t>
  </si>
  <si>
    <t>Sylphide (Stella Celeste della Vittoria)</t>
  </si>
  <si>
    <t>Stella Celeste della Vittoria</t>
  </si>
  <si>
    <t>2023-11-08</t>
  </si>
  <si>
    <t>388.157 / 652.793</t>
  </si>
  <si>
    <t>1032 / 1160</t>
  </si>
  <si>
    <t>Annihilation Flap (Arcano)</t>
  </si>
  <si>
    <t>Lv 1: Uragano che spedisce il nemico con l'ATT più alto in dimensione parallela (450% ATT) e lo respinge per 3s. Lv 2: Penetrazione aumentata del 20% per ogni livello di [veleno] sul bersaglio. Lv 3: DAN 500% ATT. Inizio: 1.566s | Fine: 2.87s | Cosmos ATT: 1160 | Cosmos DANNO: 600</t>
  </si>
  <si>
    <t>Vento Velenoso (Ciclo)</t>
  </si>
  <si>
    <t>Lv 1: Vento velenoso su tutti i nemici per 6s (80% ATT ogni secondo). Lv 2: Raddoppia la probabilità di applicare [veleno] se combinato con Winged Lizard Gaze. Lv 3: DAN 100% ATT ogni secondo. Lv 4: Il primo colpo atterra i bersagli per 2s. Inizio: 0.366s | Fine: 6.20s | Ritardo: 4.20s | Ricarica: 11.00s | Cosmos ATT: 1300 | Cosmos DANNO: 600</t>
  </si>
  <si>
    <t>Winged Lizard Gaze (Alone)</t>
  </si>
  <si>
    <t>Lv 1: Influenza tutti i nemici applicando [veleno] (fino a 8 strati, 20% ATT di Sylphide al secondo per fine battaglia). Lv 2: Veleno al 25% ATT. Lv 3: Accumulabile fino a 10 strati.</t>
  </si>
  <si>
    <t>Paralyzing Poison Beam (Innesco)</t>
  </si>
  <si>
    <t>Lv 1: Quando un bersaglio raggiunge 4 o più strati di [veleno], emette un raggio paralizzante (180% ATT e paralisi per 2s, intervallo 3s). Lv 2: DAN 220% ATT. Lv 3: Paralisi di 3s.</t>
  </si>
  <si>
    <t>Stella del Cielo Agile Surplice [Sylphide - Esclusivo]</t>
  </si>
  <si>
    <t>Il 50% dei danni di Vento Velenoso viene convertito in salute per Sylphide.</t>
  </si>
  <si>
    <t>Il 100% dei danni viene convertito in salute.</t>
  </si>
  <si>
    <t>Intervallo di Paralyzing Poison Beam ridotto a 2 secondi.</t>
  </si>
  <si>
    <t>Ogni volta che un nemico ottiene lo status veleno, viene stordito per 1 secondo.</t>
  </si>
  <si>
    <t>Bonus Salute: 15% | Bonus ATT: 18% | Bonus Difesa: 9% | Schivata: 90</t>
  </si>
  <si>
    <t>Se in campo c'è un personaggio avvelenato, i danni subiti diminuiscono del 5%.</t>
  </si>
  <si>
    <t>Se in campo c'è un personaggio avvelenato, i danni subiti diminuiscono del 10%.</t>
  </si>
  <si>
    <t>Bonus Salute: 12.00% | Schivata: 96.0 | Precisione: 60.0</t>
  </si>
  <si>
    <t>Bonus Difesa: 26.40% | Precisione: 108.0 | Bonus Attacco: 3.90%</t>
  </si>
  <si>
    <t>SCHEDA PERSONAGGIO: Suikyo (Fit)</t>
  </si>
  <si>
    <t>Suikyo (Fit)</t>
  </si>
  <si>
    <t>Fit</t>
  </si>
  <si>
    <t>Clessidra</t>
  </si>
  <si>
    <t>2024-05-08</t>
  </si>
  <si>
    <t>8.606 / 11384</t>
  </si>
  <si>
    <t>1033 / 1160</t>
  </si>
  <si>
    <t>Lv 1: Lance di ghiaccio su tutti i nemici (180% ATT); se la salute del bersaglio scende sotto il 20% entro 4s, esplode infliggendo 250% ATT. Lv 2: DAN immediato 230% ATT, l'uragano infligge 350% danno reale. Lv 3: Durata dell'uragano portata a 6s. Inizio: 0.900s | Fine: 2.63s | Cosmos DANNO: 636</t>
  </si>
  <si>
    <t>Lv 1: Lance di ghiaccio su 3 nemici frontali (160% ATT) e disperde forzatamente tutti i loro buff. Lv 2: [Congela] i bersagli per 2s. Lv 3: Per ogni buff disperso, DAN extra (fino al 12% PS max) e congelamento extra (fino a 1.5s). Lv 4: DAN extra max 16% PS max e congelamento per 2s. Inizio: 0.266s | Fine: 1.37s | Ritardo: 4.00s | Ricarica: 9.00s | Cosmos ATT: 1697 | Cosmos DANNO: 346</t>
  </si>
  <si>
    <t>Acqua della Coppa (Innesco)</t>
  </si>
  <si>
    <t>Lv 1: Se un alleato scende sotto il 20% di PS, Suikyo consuma il 20% dei propri PS max per curare tutti gli alleati di pari valore (attivabile 1 volta ogni 3s; disattivato se i PS di Suikyo sono &lt; 30%). Lv 2: Disperde controlli e debuff propri e degli alleati. Lv 3: Immunità ai debuff per 3s e cure ricevute +30%.</t>
  </si>
  <si>
    <t>Ombre del Futuro (Passivo)</t>
  </si>
  <si>
    <t>Lv 1: Subendo danni, recupera PS pari al 45% del proprio ATT. Lv 2: Recupera 60% del proprio ATT. Lv 3: Recupera 75% del proprio ATT.</t>
  </si>
  <si>
    <t>Coupe God Cloth [Suikyo - Esclusivo]</t>
  </si>
  <si>
    <t>SCHEDA PERSONAGGIO: Queen (Mandragora)</t>
  </si>
  <si>
    <t>L'esplosione dell'uragano di lance di ghiaccio infligge 500% di danno reale.</t>
  </si>
  <si>
    <t>I PS recuperati con Ombre del Futuro aumentano del 50%.</t>
  </si>
  <si>
    <t>Con l'uragano attivo, il bersaglio non può recuperare PS ed è purificabile solo a forza.</t>
  </si>
  <si>
    <t>Guarigione di Ombre del Futuro ulteriormente aumentata del 100%; l'eccesso di cure a vita piena viene distribuito agli alleati.</t>
  </si>
  <si>
    <t>Bonus Salute: 18% | Bonus ATT: 15% | Bonus Difesa: 15% | Precisione: 90</t>
  </si>
  <si>
    <t>Queen (Mandragora)</t>
  </si>
  <si>
    <t>Quando i PS di Suikyo scendono sotto il 20%, ripristina subito PS e cosmo di 5 secondi prima (consuma 2000 cosmo, 1 volta per battaglia, 2s immunità ai danni).</t>
  </si>
  <si>
    <t>Attivazione anticipata sotto il 21% di PS, costo ridotto a 1000 cosmo, utilizzabile 2 volte per battaglia con 3s di immunità ai danni.</t>
  </si>
  <si>
    <t>Mandragora</t>
  </si>
  <si>
    <t>Bonus Salute: 12.00% | Schivata: 96.0 | Effetto Cura Ricevuta: 3.90%</t>
  </si>
  <si>
    <t>Bonus Difesa: 26.40% | Sanguisuga: 48.0 | Bonus Salute: 6.60%</t>
  </si>
  <si>
    <t>2024-01-31</t>
  </si>
  <si>
    <t>425.346 / 652.793</t>
  </si>
  <si>
    <t>1103 / 1160</t>
  </si>
  <si>
    <t>Bloody Flower Scissors (Arcano)</t>
  </si>
  <si>
    <t>Lv 1: Ghigliottina su 1 nemico con il maggior livello di [sanguinamento] (500% ATT) e atterramento per 1s; ignora il 20% della DIF per ogni livello di sanguinamento. Lv 2: Ignora il 20% di immunità DAN per ogni livello di sanguinamento. Lv 3: Ignora il 10% di immunità DAN extra. Inizio: 1.867s | Fine: 2.67s | Cosmos DANNO: 402</t>
  </si>
  <si>
    <t>Petalo Enorme (Ciclo)</t>
  </si>
  <si>
    <t>Lv 1: Petali su tutti i nemici (140% ATT) e applica 1 livello di [sanguinamento] (30% ATT al secondo per 6s, max 5 strati, cure ricevute -50%). Lv 2: DAN 160% ATT. Lv 3: Danni extra per ogni livello di sanguinamento (+3%). Lv 4: Danni extra +6%. Inizio: 1.433s | Fine: 2.23s | Ritardo: 4.30s | Ricarica: 12.00s | Cosmos ATT: 1630 | Cosmos DANNO: 268</t>
  </si>
  <si>
    <t>Petalo Insanguinato (Passivo)</t>
  </si>
  <si>
    <t>Lv 1: Ogni attacco di Queen applica 1 livello di [sanguinamento]. Lv 2: Gli attacchi contro bersagli sanguinanti estendono la durata di tutti i livelli di sanguinamento di 2s. Lv 3: Estensione della durata portata a 4s.</t>
  </si>
  <si>
    <t>Profumo del Fiore Malefico (Passivo)</t>
  </si>
  <si>
    <t>Lv 1: Immune al veleno, bruciatura +100%. Se un alleato viene avvelenato, rimuove il veleno e cura ogni 0.5s (30% ATT per 3s, intervallo 6s). Lv 2: Intervallo 5s. Lv 3: Intervallo 4s.</t>
  </si>
  <si>
    <t>SCHEDA PERSONAGGIO: Deathtoll (Cancro)</t>
  </si>
  <si>
    <t>Queen Stella del Cielo Malefico [esclusivo Queen]</t>
  </si>
  <si>
    <t>Se Bloody Flower Scissors elimina il bersaglio, Queen recupera 5000 cosmo.</t>
  </si>
  <si>
    <t>Deathtoll (Cancro)</t>
  </si>
  <si>
    <t>Dopo Profumo del Fiore Malefico, immunità al veleno per i successivi 3s.</t>
  </si>
  <si>
    <t>Ogni sanguinamento nemico aumenta l'ATT e l'accelerazione di Queen del 5% (fino al 100% e 100 punti).</t>
  </si>
  <si>
    <t>Incremento portato al 10% e accelerazione a 10 punti (fino a 200% e 200 punti).</t>
  </si>
  <si>
    <t>Bonus Salute: 12% | Bonus ATT: 18% | Bonus Difesa: 12% | Precisione: 90</t>
  </si>
  <si>
    <t>2024-06-19</t>
  </si>
  <si>
    <t>Per ogni livello di sanguinamento dei nemici, Queen aumenta la propria rid. DAN del 5% extra (max 50%).</t>
  </si>
  <si>
    <t>7.147 / 11384</t>
  </si>
  <si>
    <t>Tutti gli effetti di sanguinamento in campo sono raddoppiati e Queen recupera il 10% della salute massima ogni volta che il sanguinamento infligge danno (intervallo 3s).</t>
  </si>
  <si>
    <t>Bonus Salute: 12.00% | Precisione: 108.0 | Schivata: 63.0</t>
  </si>
  <si>
    <t>Omertà (Arcano)</t>
  </si>
  <si>
    <t>Lv 1: Imprigiona nella bara leggendaria il nemico con più DAN per 8s (Deathtoll è immune ai danni mentre la usa). Se rilanciata, imprigiona un nuovo bersaglio liberando il precedente. Lv 2: Il nemico nella bara subisce danno reale ogni secondo pari al 5% dei PS max (limite 400% ATT). Lv 3: Rilasciare anticipatamente infligge DAN pari al 20% dei PS max (limite 1500% ATT). Inizio: 2.178s | Fine: 2.30s | Cosmos DANNO: 600</t>
  </si>
  <si>
    <t>Lv 1: Attacca tutti i nemici (160% ATT) e assorbe il 10% del cosmo attuale (fino a 500 punti). Lv 2: DAN totali 200% ATT. Lv 3: Assorbe il 20% del cosmo attuale (fino a 1000 punti). Lv 4: Causa [interruzione]. Inizio: 1.400s | Fine: 2.33s | Ritardo: 5.30s | Ricarica: 12.00s | Cosmos ATT: 1730 | Cosmos DANNO: 268</t>
  </si>
  <si>
    <t>Cancer All Beauty Ken (Innesco)</t>
  </si>
  <si>
    <t>Lv 1: Contrattacca l'attaccante infliggendo 150% ATT e respingendolo per 0.5s (intervallo 4.5s). Lv 2: Intervallo 5s. Lv 3: Intervallo ridotto a 3.5s.</t>
  </si>
  <si>
    <t>Peach Bomber (Innesco)</t>
  </si>
  <si>
    <t>Lv 1: Alla morte, rimbalza 5 volte colpendo nemici casuali (250% ATT e atterramento per 1.5s; immune ai controlli). Lv 2: Applica [sigillo] di 4.5s (impedisce l'uso della tecnica segreta). Lv 3: DAN 280% ATT.</t>
  </si>
  <si>
    <t>DeathToll del Cancro [Deathtoll - Esclusivo]</t>
  </si>
  <si>
    <t>Cancer All Beauty Ken respinge per 1s.</t>
  </si>
  <si>
    <t>Tempo di ricarica di Cancer All Beauty Ken ridotto di 1s e drena 600 cosmo extra.</t>
  </si>
  <si>
    <t>Ricarica di Sekishiki Meikai Ha ridotta del 25% (ulteriormente del 25% se il cosmo è al massimo).</t>
  </si>
  <si>
    <t>Sekishiki Meikai Ha impedisce al bersaglio di recuperare cosmo per 5s.</t>
  </si>
  <si>
    <t>Bonus Salute: 18% | Bonus ATT: 18% | Bonus Difesa: 15% | Precisione: 120</t>
  </si>
  <si>
    <t>Quando un bersaglio è in Omertà, disperde i suoi buff e aumenta i danni da prigionia e di rilascio del 25%.</t>
  </si>
  <si>
    <t>Omertà ignora l'immunità e non può essere dispersa; se il bersaglio muore non si attivano effetti di resurrezione, e il nemico nella bara non può essere liberato nemmeno alla morte di Deathtoll.</t>
  </si>
  <si>
    <t>SCHEDA PERSONAGGIO: Gigant (Stella della Terra della Violenza)</t>
  </si>
  <si>
    <t>Gigant (Stella della Terra della Violenza)</t>
  </si>
  <si>
    <t>Stella della Terra della Violenza</t>
  </si>
  <si>
    <t>Presa del Gigante (Arcano)</t>
  </si>
  <si>
    <t>Lv 1: Afferra il nemico con braccia ciclopiche, atterrandolo e colpendolo 6 volte (100% ATT a colpo). Lv 2: DAN 120% ATT a colpo, entra in stato [dominazione]. Lv 3: L'ultimo colpo infligge DAN extra del 120% ATT e aggiorna la durata di tutti i debuff del bersaglio. Inizio: 0.791s | Fine: 4.00s | Cosmos DANNO: 71</t>
  </si>
  <si>
    <t>Scatto del Gigante (Ciclo)</t>
  </si>
  <si>
    <t>Lv 1: Pugno frontale che lancia in aria il bersaglio per 1.5s (270% ATT). Lv 2: Durata lancio in aria 2.5s. Lv 3: DAN 330% ATT. Lv 4: All'atterraggio applica [cecità] per 5s (attacchi non colpiscono al 100%). Inizio: 0.267s | Fine: 1.37s | Ritardo: 3.80s | Ricarica: 11.00s | Cosmos ATT: 1510 | Cosmos DANNO: 600</t>
  </si>
  <si>
    <t>Sangue di Gigante (Passivo)</t>
  </si>
  <si>
    <t>Lv 1: Ogni volta che perde il 30% dei PS max, rimuove tutti i debuff e recupera 5% PS max al secondo per 3s. Lv 2: Ottiene +10% bonus DAN e rid. DAN (cumulabile fino a 2 livelli). Lv 3: Bonus DAN e rid. DAN portati al 12% (fino a 2 livelli).</t>
  </si>
  <si>
    <t>Percezione Acuta (Innesco)</t>
  </si>
  <si>
    <t>Lv 1: Interrompe l'abilità dei nemici mirata alla fila posteriore gridando e causando [panico] per 1s (intervallo 10s). Lv 2: Intervallo 9s. Lv 3: Intervallo 8s.</t>
  </si>
  <si>
    <t>Surplice di Stella della Terra Violenta [Giganto - Esclusivo]</t>
  </si>
  <si>
    <t>Sangue di Gigante fa recuperare 10% PS max al secondo.</t>
  </si>
  <si>
    <t>Bonus DAN e rid. DAN di Sangue di Gigante cumulabili fino al livello 3.</t>
  </si>
  <si>
    <t>L'ultimo colpo di Presa del Gigante infligge DAN extra pari al 20% dei PS massimi e applica 100% sanguisuga.</t>
  </si>
  <si>
    <t>L'ultimo colpo ripristina al massimo il tempo di ricarica delle abilità cicliche del bersaglio e azzera tutto il suo cosmo.</t>
  </si>
  <si>
    <t>Bonus Salute: 18% | Bonus ATT: 15% | Bonus Difesa: 12% | Precisione: 90</t>
  </si>
  <si>
    <t>L'intervallo di attivazione di Percezione Acuta si riduce a 2 secondi.</t>
  </si>
  <si>
    <t>L'intervallo di attivazione di Percezione Acuta si riduce a 3 secondi (sic, come da testo originale).</t>
  </si>
  <si>
    <t>Bonus Salute: 12.00% | Schivata: 96.0 | Critico: 63.0</t>
  </si>
  <si>
    <t>Bonus Attacco: 7.50% | Tenacia: 114.0 | Bonus Salute: 6.90%</t>
  </si>
  <si>
    <t>SCHEDA PERSONAGGIO: Kaiser (Leone)</t>
  </si>
  <si>
    <t>Kaiser (Leone)</t>
  </si>
  <si>
    <t>2024-10-16</t>
  </si>
  <si>
    <t>Lightning Plasma (Arcano)</t>
  </si>
  <si>
    <t>Lv 1: Più di 100 milioni di pugni alla velocità della luce su tutti i nemici (3 volte 130% ATT, 30% prob. di rigidità di 1.5s). Lv 2: DAN 160% ATT a fase. Lv 3: Probabilità di rigidità 40% per 2s. Inizio: 1.200s | Fine: 4.17s | Cosmos DANNO: 346</t>
  </si>
  <si>
    <t>Lightning Bolt (Ciclo)</t>
  </si>
  <si>
    <t>Lv 1: Sfera ad alta densità su tutti i nemici della fila posteriore (260% ATT) e disperde tutti i buff. Lv 2: DAN 320% ATT. Lv 3: Riduce la DIF nemica del 40% per 3s. Lv 4: Riduzione DIF portata al 60% per 3s. Inizio: 1.133s | Fine: 2.17s | Ritardo: 4.00s | Ricarica: 12.00s | Cosmos ATT: 1100 | Cosmos DANNO: 424</t>
  </si>
  <si>
    <t>Intimidazione del Leone (Apertura)</t>
  </si>
  <si>
    <t>Lv 1: All'inizio della battaglia Goldie ruggisce e applica [shock elettrico] a tutti i nemici (+35% DAN subiti e rischio rigidità per 3s). Lv 2: Durata 3.5s. Lv 3: Durata 4s. Inizio: 1.167s | Fine: 2.30s | Cosmos ATT: 600 | Ordine d'azione: 30</t>
  </si>
  <si>
    <t>Unione d'Intenti (Innesco)</t>
  </si>
  <si>
    <t>Lv 1: In campo con Goldie, i colpi non sono mai critici; se subisce controllo, Goldie purifica tutti i debuff di Kaiser (intervallo 4s). Lv 2: Dopo la purificazione, Goldie usa l'attacco [artigli] su tutti i nemici (100% ATT di Kaiser). Lv 3: Ogni attacco [artigli] fa recuperare 1000 cosmo extra a Kaiser.</t>
  </si>
  <si>
    <t>Leone Gold Cloth [Kaiser - Esclusivo]</t>
  </si>
  <si>
    <t>Ogni fase di Lightning Plasma infligge DAN extra pari al 10% dei PS attuali.</t>
  </si>
  <si>
    <t>Probabilità di rigidità salita al 60% e durata cumulabile.</t>
  </si>
  <si>
    <t>Ogni volta che Kaiser usa un'abilità, Goldie usa 1 volta [artigli].</t>
  </si>
  <si>
    <t>Quando esegue [artigli], fa recuperare 1000 cosmo a tutti gli alleati.</t>
  </si>
  <si>
    <t>Bonus Salute: 15% | Bonus ATT: 18% | Bonus Difesa: 15% | Sanguisuga: 60</t>
  </si>
  <si>
    <t>Il DAN dell'attacco [artigli] e dell'attacco normale di Kaiser è aumentato del 50%.</t>
  </si>
  <si>
    <t>Il bonus DAN dello shock elettrico di Intimidazione del Leone è raddoppiato e la sua durata è aumentata di 2 secondi extra.</t>
  </si>
  <si>
    <t>Bonus Attacco: 7.50% | Velocità Attacco: 7.50% | Bonus Salute: 7.20%</t>
  </si>
  <si>
    <t>Bonus Difesa: 26.40% | Sanguisuga: 48.0 | Precisione: 69.0</t>
  </si>
  <si>
    <t>SCHEDA PERSONAGGIO: Gestalt (Sagittario)</t>
  </si>
  <si>
    <t>Gestalt (Sagittario)</t>
  </si>
  <si>
    <t>Sagittario</t>
  </si>
  <si>
    <t>2025-01-30</t>
  </si>
  <si>
    <t>SCHEDA PERSONAGGIO: Izo (Capricorno)</t>
  </si>
  <si>
    <t>52.461 / 55.477</t>
  </si>
  <si>
    <t>1027 / 1160</t>
  </si>
  <si>
    <t>Freccia della Dea (Arcano)</t>
  </si>
  <si>
    <t>Lv 1: Tende l'arco per 3s e scaglia la Freccia della Dea sul bersaglio attuale (500% ATT; se interrotto recupera 5000 cosmo). Lv 2: Bersaglio prioritario sul nemico con DAN maggiore; +5% DAN per ogni buff posseduto dal bersaglio (max +25%). Lv 3: Bonus massimo portato al +30%. Inizio: 3.900s | Fine: 4.67s | Cosmos DANNO: 600</t>
  </si>
  <si>
    <t>Pioggia di Frecce d'Oro (Ciclo)</t>
  </si>
  <si>
    <t>Lv 1: Frecce sulla fila posteriore (160% ATT) che applicano [sanguinamento] (60% ATT al secondo e cure -50% per 3s). Lv 2: Sanguisuga/sanguinamento riduce i danni inflitti del bersaglio del 25%. Lv 3: Durata sanguinamento 4s. Lv 4: Critico garantito contro bersagli sanguinanti. Inizio: 1.450s | Fine: 1.73s | Ritardo: 3.90s | Ricarica: 11.00s | Cosmos ATT: 1490 | Cosmos DANNO: 346</t>
  </si>
  <si>
    <t>Izo (Capricorno)</t>
  </si>
  <si>
    <t>Precisione del Sagittario (Apertura)</t>
  </si>
  <si>
    <t>Lv 1: Freccia sul bersaglio opposto (300% ATT) che sottrae temporaneamente il 50% dell'ATT fino alla tecnica segreta. Lv 2: DAN 330% ATT. Lv 3: Sottrae il 75% dell'ATT. Inizio: 0.600s | Fine: 1.20s | Cosmos ATT: 600 | Ordine d'azione: 1770</t>
  </si>
  <si>
    <t>Contrattacco del centauro (Innesco)</t>
  </si>
  <si>
    <t>Capricorno</t>
  </si>
  <si>
    <t>Lv 1: Lancia una Freccia d'Oro quando i nemici usano abilità attive (200% ATT e stordimento di 2s, intervallo 4s). Lv 2: Ottiene [Istinto del Sagittario] (+14% penetrazione per livello, max 3 livelli). Lv 3: Ottiene purificazione a ogni livello e penetrazione +18%.</t>
  </si>
  <si>
    <t>Sagittario Gold Cloth [Gestalt - Esclusivo]</t>
  </si>
  <si>
    <t>2025-03-13</t>
  </si>
  <si>
    <t>Il sanguinamento riduce la schivata del bersaglio del 30%.</t>
  </si>
  <si>
    <t>432.901 / 652.793</t>
  </si>
  <si>
    <t>Se il sanguinamento viene purificato, i danni cessano ma lo stato negativo persiste.</t>
  </si>
  <si>
    <t>Se Freccia della Dea elimina un bersaglio, lancia subito un'altra Precisione del Sagittario.</t>
  </si>
  <si>
    <t>1088 / 1160</t>
  </si>
  <si>
    <t>Freccia della Dea non è schivabile, ignora scudi e effetti di anti-morte, e impedisce la resurrezione del bersaglio eliminato.</t>
  </si>
  <si>
    <t>Bonus Salute: 18% | Bonus ATT: 24% | Critico: 60 | Sanguisuga: 60</t>
  </si>
  <si>
    <t>Excalibur (Arcano)</t>
  </si>
  <si>
    <t>Lv 1: Tre fendenti a tutti i nemici (100% ATT a colpo, non schivabili) che applicano [soppressione] sul posto, silenzio e cecità per 2s. Lv 2: Riduce la DIF nemica del 20% per 5s (cumulabile fino a 3 livelli). Lv 3: Il 60% dei danni inflitti si converte in PS per Izo. Inizio: 0.533s | Fine: 2.00s | Cosmos DANNO: 268</t>
  </si>
  <si>
    <t>Baleno Improvviso (Ciclo)</t>
  </si>
  <si>
    <t>L'intervallo di Contrattacco del centauro si riduce a 3s e ottiene immunità alle interruzioni durante il lancio.</t>
  </si>
  <si>
    <t>Lv 1: Caricamento di 1.2s (immune ad attacchi), poi fendente su 3 nemici frontali (200% ATT) che disperde tutti i loro scudi. Lv 2: Se disperde uno scudo, i suoi danni aumentano permanentemente del 25% (max 4 volte). Lv 3: DAN base 220% ATT. Lv 4: Ricarica ridotta di 1s per ogni nemico con scudo. Inizio: 1.600s | Fine: 2.57s | Ritardo: 4.10s | Ricarica: 11.00s | Cosmos ATT: 1510 | Cosmos DANNO: 268</t>
  </si>
  <si>
    <t>Postura del contrattacco (Innesco)</t>
  </si>
  <si>
    <t>Ogni livello di [Istinto del Sagittario] fa recuperare anche 1000 cosmo; a stack massimi, la tecnica segreta non ha bisogno di caricamento.</t>
  </si>
  <si>
    <t>Lv 1: Ottiene 1 livello di [postura] dopo ogni abilità attiva; consuma 1 livello per ridurre del 50% i danni da abilità ricevuti (intervallo 4s, max 5 livelli). Lv 2: Contrattacca immediatamente la prima fila nemica (100% ATT) a ogni consumo di postura. Lv 3: Il 45% dei danni da contrattacco si converte in PS per Izo.</t>
  </si>
  <si>
    <t>Bonus Salute: 12.00% | Schivata: 96.0 | Bonus Difesa: 16.20%</t>
  </si>
  <si>
    <t>Bushido (Passivo)</t>
  </si>
  <si>
    <t>Lv 1: Inizia con 2 livelli di [postura]; ogni consumo di postura dà 2 livelli di [Volontà di Excalibur] (+10% ATT per livello, max 15 livelli). Lv 2: Ogni livello dà anche +10% velocità recupero cosmo. Lv 3: A stack massimi, tutti i danni di Izo diventano danno reale.</t>
  </si>
  <si>
    <t>Bonus Attacco: 7.50% | Critico: 96.0 | Accelerazione: 9.0</t>
  </si>
  <si>
    <t>Capricorno Gold Cloth [Izo - Esclusivo]</t>
  </si>
  <si>
    <t>La ricarica di Baleno Improvviso si riduce di 1.5s per ogni scudo nemico.</t>
  </si>
  <si>
    <t>La durata della soppressione di Excalibur sale a 3 secondi.</t>
  </si>
  <si>
    <t>Inizia con 3 livelli di [postura] e ogni consumo dà 3 livelli di Volontà di Excalibur.</t>
  </si>
  <si>
    <t>A stack massimi di Volontà di Excalibur ottiene immunità ai debuff e ogni attacco rimuove tutti i buff del bersaglio.</t>
  </si>
  <si>
    <t>Bonus Salute: 15% | Bonus ATT: 18% | Bonus Difesa: 15% | Critico: 90</t>
  </si>
  <si>
    <t>SCHEDA PERSONAGGIO: Cardinale (Pesci)</t>
  </si>
  <si>
    <t>Consumando postura riduce i danni subiti del 75%.</t>
  </si>
  <si>
    <t>Intervallo di postura ridotto a 2.5s; ogni consumo attiva un contrattacco contro tutti i nemici.</t>
  </si>
  <si>
    <t>Bonus Salute: 12.00% | Schivata: 96.0 | Accelerazione: 9.0</t>
  </si>
  <si>
    <t>Cardinale (Pesci)</t>
  </si>
  <si>
    <t>2025-04-03</t>
  </si>
  <si>
    <t>Dagger Rose (Arcano)</t>
  </si>
  <si>
    <t>Lv 1: Trafigge il bersaglio opposto con [Dagger Rose] (260% ATT) e lo avvelena per 6s (30% ATT al secondo). Se il bersaglio usa un'abilità attiva, la rosa esplode stordendolo per 2s e infliggendo DAN reale pari a 260% ATT. Lv 2: Veleno a 40% ATT. Lv 3: DAN reale dell'esplosione e della rosa a 300% ATT. Inizio: 2.233s | Fine: 3.33s | Cosmos DANNO: 600</t>
  </si>
  <si>
    <t>Bloody Rose (Ciclo)</t>
  </si>
  <si>
    <t>Lv 1: Rosa bianca sul bersaglio opposto per 3s (4% PS massimi al secondo come DAN da veleno); alla scadenza ottiene uno scudo pari al danno totale inflitto per 5s. Lv 2: Veleno al 5% PS massimi. Lv 3: Durata 4s. Lv 4: Veleno al 6% PS massimi. Inizio: 0.700s | Fine: 1.90s | Ritardo: 3.40s | Ricarica: 10.00s | Cosmos ATT: 1340 | Cosmos DANNO: 600</t>
  </si>
  <si>
    <t>Royal Demon Rose (Apertura)</t>
  </si>
  <si>
    <t>Lv 1: Ricopre il campo di Royal Demon Rose per 5s (avvelena tutti i nemici, 25% ATT al secondo). Lv 2: Riduce l'accelerazione nemica di 30 punti. Lv 3: Aumenta l'accelerazione degli alleati di 30 punti. Inizio: 0.900s | Fine: 1.83s | Ordine d'azione: 10</t>
  </si>
  <si>
    <t>Chi vive morirà (Passivo)</t>
  </si>
  <si>
    <t>Lv 1: Immune al veleno; recupera 60 cosmo al secondo per ogni personaggio in stato di danno continuativo (veleno, bruciatura, sanguinamento). Lv 2: Recupera 80 cosmo al secondo. Lv 3: Recupera 100 cosmo al secondo.</t>
  </si>
  <si>
    <t>Pesci Gold Cloth [Cardinale - Esclusivo]</t>
  </si>
  <si>
    <t>Alla fine di Bloody Rose, applica uno scudo anche all'alleato con meno PS.</t>
  </si>
  <si>
    <t>Il DAN reale dell'esplosione di Dagger Rose aumenta del 30%.</t>
  </si>
  <si>
    <t>Durante Bloody Rose, abilità passive e ad attivazione dei bersagli sono temporaneamente annullate.</t>
  </si>
  <si>
    <t>Dagger Rose dura illimitatamente fino all'esplosione; finché è attiva sui nemici, Cardinale non può morire.</t>
  </si>
  <si>
    <t>Bonus Salute: 15% | Bonus ATT: 18% | Bonus Difesa: 15% | Precisione: 120</t>
  </si>
  <si>
    <t>Durante Royal Demon Rose, i punti di accelerazione sottratti al nemico vengono aggiunti a Cardinale.</t>
  </si>
  <si>
    <t>Rilancia Royal Demon Rose con la tecnica segreta; finché è attivo, nessun Saint (tranne sé stesso) può recuperare PS.</t>
  </si>
  <si>
    <t>Bonus Attacco: 7.50% | Critico: 96.0 | Sanguisuga: 30.0</t>
  </si>
  <si>
    <t>Bonus Difesa: 26.40% | Precisione: 108.0 | Bonus Salute: 7.20%</t>
  </si>
  <si>
    <t>SCHEDA PERSONAGGIO: La Scoumoune (Moon Hunter)</t>
  </si>
  <si>
    <t>La Scoumoune (Moon Hunter)</t>
  </si>
  <si>
    <t>Moon Hunter</t>
  </si>
  <si>
    <t>2025-09-04</t>
  </si>
  <si>
    <t>Crimson Viper (Arcano)</t>
  </si>
  <si>
    <t>Lv 1: Penetrazione +30% per 5s, poi lancia una freccia vipera sul nemico con l'ATT più alto (500% ATT, non bloccabile né schivabile). Lv 2: Applica [marchio del serpente] (+25% DAN ricevuti per 5s). Lv 3: DAN aumentati a 600% ATT. Inizio: 1.333s | Fine: 1.90s | Cosmos DANNO: 346</t>
  </si>
  <si>
    <t>Raffica (Ciclo)</t>
  </si>
  <si>
    <t>Lv 1: Compagni lanciano 5 frecce (120% ATT e -30% DIF nemica per 4s). Lv 2: I critici applicano 1 livello di [Luce Lunare] (aumenta penetrazione del 10% per livello). Lv 3: Riduzione DIF a -40%. Lv 4: Riduce la ricarica del 10% sui critici (1 volta per Saint). Inizio: 1.166s | Fine: 2.07s | Ritardo: 4.00s | Ricarica: 12.00s | Cosmos ATT: 1600 | Cosmos DANNO: 268</t>
  </si>
  <si>
    <t>Inseguimento (Apertura)</t>
  </si>
  <si>
    <t>Lv 1: Marchia il bersaglio opposto (-90% ATT, -90% Vel. ATT, DAN ridotti del 90%) svanendo gradualmente in 5s. Lv 2: Durata svanimento 7s. Lv 3: Durata svanimento 9s. Inizio: 0.500s | Fine: 1.60s | Ordine d'azione: 90</t>
  </si>
  <si>
    <t>Mira letale (Passivo)</t>
  </si>
  <si>
    <t>Lv 1: +5% ATT, +5% Vel. ATT, +2% critico; ogni +5% di ATT aumenta il DAN critico del 4%. Lv 2: Critico +2.5%. Lv 3: DAN critico +5%.</t>
  </si>
  <si>
    <t>Arco di La Scoumoune [Esclusivo]</t>
  </si>
  <si>
    <t>I critici da Mira letale restituiscono 250 cosmo extra.</t>
  </si>
  <si>
    <t>I critici infliggono DAN extra pari al 2.5% dei PS massimi (max 100% ATT).</t>
  </si>
  <si>
    <t>Crimson Viper porta al massimo le ricariche cicliche del bersaglio aggiungendo 3 secondi.</t>
  </si>
  <si>
    <t>Marchio del serpente non purificabile, DAN subiti +50%, impedisce recupero di PS e cosmo.</t>
  </si>
  <si>
    <t>L'effetto negativo di Inseguimento si elimina solo con purificazione potente.</t>
  </si>
  <si>
    <t>Alla fine di Inseguimento, ne lancia un altro con metà effetto su un bersaglio non colpito in precedenza.</t>
  </si>
  <si>
    <t>Bonus Attacco: 7.50% | Critico: 96.0 | Schivata: 63.0</t>
  </si>
  <si>
    <t>Bonus Difesa: 26.40% | Precisione: 108.0 | Sanguisuga: 30.0</t>
  </si>
  <si>
    <t>SCHEDA PERSONAGGIO: Ox (Toro)</t>
  </si>
  <si>
    <t>SCHEDA PERSONAGGIO: Ecarlate (Scorpion)</t>
  </si>
  <si>
    <t>Ox (Toro)</t>
  </si>
  <si>
    <t>Toro</t>
  </si>
  <si>
    <t>Ecarlate (Scorpion)</t>
  </si>
  <si>
    <t>2025-08-07</t>
  </si>
  <si>
    <t>611.921 / 652.793</t>
  </si>
  <si>
    <t>2025-05-29</t>
  </si>
  <si>
    <t>447.518 / 652.793</t>
  </si>
  <si>
    <t>Great Horn (Arcano)</t>
  </si>
  <si>
    <t>50.194 / 55.477</t>
  </si>
  <si>
    <t>Lv 1: Toro che carica tutti i nemici (200% ATT e atterramento per 2s); riduce ATT e Vel. ATT del 30% per 5s. Lv 2: Aumenta Vel. ATT degli alleati del 30% per 5s. Lv 3: DAN extra pari al 10% dei PS massimi di Ox. Inizio: 1.800s | Fine: 2.50s | Cosmos DANNO: 520</t>
  </si>
  <si>
    <t>Furia del Toro (Ciclo)</t>
  </si>
  <si>
    <t>8.058 / 11384</t>
  </si>
  <si>
    <t>Lv 1: Attacca il nemico con ATT maggiore (25% dei PS massimi di Ox) e lo atterra per 3s. Lv 2: Riduce il cosmo del bersaglio di 1500 punti. Lv 3: Riduce la DIF del bersaglio del 50% per 3s. Lv 4: Ignora gli effetti passivi e ad attivazione del bersaglio. Inizio: 0.700s | Fine: 2.83s | Ritardo: 5.00s | Ricarica: 12.00s | Cosmos ATT: 1700 | Cosmos DANNO: 600</t>
  </si>
  <si>
    <t>Postura inamovibile (Apertura)</t>
  </si>
  <si>
    <t>Lv 1: Provoca tutti i nemici costringendoli agli attacchi normali per 4s. Lv 2: Durata 5s. Lv 3: Quando i nemici provocati attaccano Ox, recupera il 5% dei PS massimi (intervallo 2s). Inizio: 1.200s | Fine: 4.00s | Ordine d'azione: 90</t>
  </si>
  <si>
    <t>Nessuna Resa (Innesco)</t>
  </si>
  <si>
    <t>Lv 1: A 0 PS entra in stato appisolato (scudo dell'80% PS max, recupera 10% PS max al secondo per max 8s, immune ai controlli). Se lo scudo cade, muore. Si attiva 1 volta per battaglia. Lv 2: Al risveglio attiva Postura inamovibile. Lv 3: Scudo al 100% PS max.</t>
  </si>
  <si>
    <t>Scarlet Needle - velocità della luce (Arcano)</t>
  </si>
  <si>
    <t>Toro Gold Cloth [Esclusivo]</t>
  </si>
  <si>
    <t>Lv 1: Passiva: l'attacco normale applica [Scarlet Needle] (15 stack attivano Antares: purga buff e abilità per 4s e infligge 100% PS max in danno reale, max 1500% ATT). Uso attivo: 5 attacchi normali alla velocità della luce. Lv 2: 6 attacchi. Lv 3: 7 attacchi. Inizio: 1.433s | Fine: 2.17s | Cosmos DANNO: 180</t>
  </si>
  <si>
    <t>Scarlet Needle - Quattro (Ciclo)</t>
  </si>
  <si>
    <t>Lv 1: 4 attacchi casuali (80% ATT) con 50% prob. di sanguinamento (40% ATT al secondo per 3s). Lv 2: DAN 90% ATT. Lv 3: Se colpisce 2+ bersagli, ricarica ridotta del 20%. Lv 4: Ricarica ridotta del 30%. Inizio: 0.966s | Fine: 2.50s | Ritardo: 4.30s | Ricarica: 12.00s | Cosmos ATT: 1630 | Cosmos DANNO: 300</t>
  </si>
  <si>
    <t>DAN extra pari al 15% dei PS massimi.</t>
  </si>
  <si>
    <t>Lv 1: Inibisce il consumo di cosmo del nemico con più PS per 3s; applica [timore] (1s) e [silenzio] (2s) a due nemici vicini. Lv 2: Inibizione 4.5s, timore 1.5s, silenzio 3s. Lv 3: Inibizione 6s, timore 2s, silenzio 4s. Inizio: 0.888s | Fine: 1.30s | Ordine d'azione: 30</t>
  </si>
  <si>
    <t>Dopo Great Horn, accelerazione nemica ridotta a 45 e alleata aumentata a 45.</t>
  </si>
  <si>
    <t>Cristallizzazione (Passivo)</t>
  </si>
  <si>
    <t>Lv 1: Stato [nascosto] se PS &gt;= 70% (immunitario a bersagli singoli); stato [esposto] se PS &lt; 70% (+100% Vel. ATT). Lv 2: Soglia al 65%. Lv 3: Soglia al 60%.</t>
  </si>
  <si>
    <t>Ottiene 500 cosmo quando un personaggio viene provocato o atterrato (intervallo 2s).</t>
  </si>
  <si>
    <t>SCHEDA PERSONAGGIO: Tenma (Pegasus)</t>
  </si>
  <si>
    <t>Cosmo ottenuto portato a 1000; immunità permanente a atterramento, respingimento e in aria.</t>
  </si>
  <si>
    <t>Bonus Salute: 24% | Bonus ATT: 12% | Bonus Difesa: 18% | Tenacia: 120</t>
  </si>
  <si>
    <t>Scorpione Gold Cloth [Esclusivo]</t>
  </si>
  <si>
    <t>Nello stato appisolato, ogni abilità attiva nemica applica provocazione per 2s.</t>
  </si>
  <si>
    <t>La tecnica segreta esegue 8 attacchi.</t>
  </si>
  <si>
    <t>Provocazione estesa a 3s e stato appisolato attivabile 2 volte.</t>
  </si>
  <si>
    <t>Soglia dello stato nascosto portata al 50% di PS.</t>
  </si>
  <si>
    <t>Tenma (Pegasus)</t>
  </si>
  <si>
    <t>Durante Antares, tutte le cure ricevute dal bersaglio sono trasferite a Ecarlate.</t>
  </si>
  <si>
    <t>Ogni attacco colpisce anche un nemico anteriore; i bersagli con Scarlet Needle e PS &gt; 50% non possono curarsi e subiscono penalità di accelerazione e precisione.</t>
  </si>
  <si>
    <t>Bonus Difesa: 26.40% | Velocità Attacco: 7.50% | Precisione: 69.0</t>
  </si>
  <si>
    <t>Pegasus</t>
  </si>
  <si>
    <t>Bonus Salute: 9% | Bonus ATT: 24% | Bonus Difesa: 6% | Critico: 60</t>
  </si>
  <si>
    <t>2025-10-09</t>
  </si>
  <si>
    <t>Lancia 2 livelli di [Scarlet Needle] all'uso di Restriction.</t>
  </si>
  <si>
    <t>Restriction ignora l'immunità e non è purificabile; il cosmo ottenuto dal bersaglio viene trasferito a Ecarlate.</t>
  </si>
  <si>
    <t>48.966 / 55.477</t>
  </si>
  <si>
    <t>8.284 / 11384</t>
  </si>
  <si>
    <t>Lv 1: Punti alla velocità del suono a tutti i nemici (200% ATT totale a più fasi) e respingimento di 1s. Lv 2: DAN 230% ATT. Lv 3: Ogni colpo aumenta il danno subito dal bersaglio del 30% per le volte successive (max 4 volte). Inizio: 2.866s | Fine: 3.70s | Cosmos DANNO: 130</t>
  </si>
  <si>
    <t>Pugno del Superamento (Ciclo)</t>
  </si>
  <si>
    <t>Lv 1: Scatta verso il nemico opposto (300% ATT). Se in prima fila riduce la DIF del 50% per 5s; se in seconda fila riduce il DAN inflitto del 50%. Lv 2: DAN 330% ATT. Lv 3: Attacchi alleati successivi infliggono DAN extra pari al 100% dell'ATT di Tenma (1 volta per alleato). Lv 4: Causa atterramento al primo impatto. Inizio: 1.533s | Fine: 2.33s | Ritardo: 4.60s | Ricarica: 10.00s | Cosmos ATT: 1460 | Cosmos DANNO: 600</t>
  </si>
  <si>
    <t>Volontà di Pegasus (Passivo)</t>
  </si>
  <si>
    <t>Lv 1: Riduce i danni da abilità del 15% (subendo lo stesso attacco si riduce del 30% extra, cumulabile 2 volte). Lv 2: Fornisce uno scudo di 6s pari al 300% dell'ATT. Lv 3: Estende l'effetto di riduzione DAN abilità a un alleato della fila anteriore.</t>
  </si>
  <si>
    <t>Cuore Irremovibile (Passivo)</t>
  </si>
  <si>
    <t>Lv 1: Entra in stato immortale per 3s quando subisce DAN pari al 100% dei PS massimi (max 2 volte per battaglia, intervallo 6s). Lv 2: Aumenta ATT e DIF del 20% e attiva lo scudo di Volontà di Pegasus. Lv 3: Aumenta ATT e DIF del 25%.</t>
  </si>
  <si>
    <t>Bronze Cloth di Pegasus [Tenma - Esclusivo]</t>
  </si>
  <si>
    <t>Pegasus Ryuseiken respinge i nemici per 1.5 secondi.</t>
  </si>
  <si>
    <t>Pugno del Superamento applica purificazione potente e rende non bersagliabile durante l'esecuzione.</t>
  </si>
  <si>
    <t>Cuore Irremovibile fornisce +25 punti accelerazione permanenti.</t>
  </si>
  <si>
    <t>Aumenta le esecuzioni di Cuore Irremovibile (intervallo ridotto a 4s). Con Alone o Atena in squadra, senza intervallo di ricarica e immortalità cumulabile, estendendo lo scudo anche a loro.</t>
  </si>
  <si>
    <t>SCHEDA PERSONAGGIO: Mystoria (Acquario)</t>
  </si>
  <si>
    <t>Ogni volta che ottiene lo scudo di Volontà di Pegasus, recupera un equivalente in PS.</t>
  </si>
  <si>
    <t>La riduzione dei danni da abilità di Volontà di Pegasus viene estesa a tutti gli alleati.</t>
  </si>
  <si>
    <t>Bonus Difesa: 26.40% | Sanguisuga: 48.0 | Accelerazione: 12.0</t>
  </si>
  <si>
    <t>Mystoria (Acquario)</t>
  </si>
  <si>
    <t>2025-11-06</t>
  </si>
  <si>
    <t>7.229 / 11384</t>
  </si>
  <si>
    <t>Lv 1: Aria congelante sullo zero assoluto contro il nemico con l'ATT maggiore (420% ATT) e [congelamento] per 4s. Lv 2: Dispersione potente di tutti i buff prima di congelare. Lv 3: Durata congelamento 5s. Inizio: 1.666s | Fine: 2.43s | Cosmos DANNO: 130</t>
  </si>
  <si>
    <t>Kolodnyi Smerch (Ciclo)</t>
  </si>
  <si>
    <t>Lv 1: Solleva in aria il nemico con l'ATT maggiore con un tornado per 4s (60% ATT al secondo, intoccabile e inattivo). Lv 2: Durata 5s. Lv 3: DAN 80% ATT al secondo. Lv 4: Se purificato, infligge 300% ATT all'atterraggio. Inizio: 1.067s | Fine: 2.50s | Ritardo: 4.90s | Ricarica: 12.00s | Cosmos ATT: 1900 | Cosmos DANNO: 600</t>
  </si>
  <si>
    <t>Bufera imprevedibile (Ciclo)</t>
  </si>
  <si>
    <t>Lv 1: Ottiene uno scudo del 300% ATT e 4 cristalli di ghiaccio che orbitano per 8s; lanciano colpi da 120% ATT sui nemici soggetti a controllo (intervallo 1s). Lv 2: Si attivano anche su effetti di [ghiaccio]. Lv 3: Lancia subito una Bufera imprevedibile all'inizio della battaglia. Inizio: 0.001s | Fine: 0.01s | Ritardo: 8.00s | Ricarica: 8.00s</t>
  </si>
  <si>
    <t>Invasione di gelo (Innesco)</t>
  </si>
  <si>
    <t>Lv 1: Ogni 6s applica [Aria Gelida] a un nemico (-20% precisione, -40% recupero cosmo per 3s). Lv 2: I bersagli con Aria Gelida infliggono il 25% di DAN in meno contro Mistoria. Lv 3: Intervallo ridotto a 5s.</t>
  </si>
  <si>
    <t>Acquario Gold Cloth [Mystoria - Esclusivo]</t>
  </si>
  <si>
    <t>Kolodnyi Smerch infligge 100% ATT di danno aggiuntivo.</t>
  </si>
  <si>
    <t>Il bersaglio caduto al suolo applica 1 livello di [aria gelida] agli altri nemici per 5s.</t>
  </si>
  <si>
    <t>La tecnica segreta applica 1 livello di [Aria Gelida] ai nemici (tranne il bersaglio) per 5s.</t>
  </si>
  <si>
    <t>Per ogni effetto di ghiaccio sul nemico, DAN e DAN critico di Mistoria aumentano del 20% (fino al 100%).</t>
  </si>
  <si>
    <t>Resetta immediatamente il tempo di ricarica di Bufera imprevedibile dopo il lancio dei quattro cristalli.</t>
  </si>
  <si>
    <t>Invasione di gelo colpisce 2 nemici e tutti gli effetti di Aria Gelida durano 2 secondi in più finché Mistoria è in campo.</t>
  </si>
  <si>
    <t>SCHEDA PERSONAGGIO: Rune (Stella Celeste dell'Eccellenza)</t>
  </si>
  <si>
    <t>Rune (Stella Celeste dell'Eccellenza)</t>
  </si>
  <si>
    <t>Stella Celeste dell'Eccellenza</t>
  </si>
  <si>
    <t>SCHEDA PERSONAGGIO: Shiryu (Erede della Bilancia)</t>
  </si>
  <si>
    <t>2025-12-04</t>
  </si>
  <si>
    <t>Shiryu (Erede della Bilancia)</t>
  </si>
  <si>
    <t>Erede della Bilancia</t>
  </si>
  <si>
    <t>2026-01-08</t>
  </si>
  <si>
    <t>651.615 / 652.793</t>
  </si>
  <si>
    <t>SCHEDA PERSONAGGIO: Hyôga (L'Erede dell'Acquario)</t>
  </si>
  <si>
    <t>32.079 / 55.477</t>
  </si>
  <si>
    <t>Reincarnation (Arcano)</t>
  </si>
  <si>
    <t>11.124 / 11384</t>
  </si>
  <si>
    <t>Lv 1: Giudica l'anima del nemico con l'ATT maggiore per 6s applicando a turno [silenzio], [sigillo] o [timore]; intoccabile dagli alleati, purificabile solo con purificazione potente. Lv 2: Aggiunge 1 livello di [Fiamma del Giudizio]. Lv 3: Danno reale extra pari al 30% dei danni totali subiti durante il giudizio. Inizio: 2.000s | Fine: 2.63s | Cosmos DANNO: 600</t>
  </si>
  <si>
    <t>Fire Whip (Ciclo)</t>
  </si>
  <si>
    <t>Lv 1: Frustata su tutti i nemici (110% ATT) che disperde tutti i buff. Lv 2: Se a un nemico vengono rimossi 3+ buff, applica 1 livello di [Fiamma del Giudizio]. Lv 3: DAN 120% ATT. Lv 4: Attiva con 2+ buff rimossi. Inizio: 1.350s | Fine: 2.30s | Ritardo: 5.00s | Ricarica: 11.00s | Cosmos ATT: 1600 | Cosmos DANNO: 268</t>
  </si>
  <si>
    <t>Libro dei Morti (Innesco)</t>
  </si>
  <si>
    <t>Lv 1: Quando un nemico lancia un'abilità attiva, applica [Fiamma del Giudizio] (bruciatura cumulabile fino a liv. 3 che infligge 40% ATT e drena 200 cosmo ogni 2s). Lv 2: DAN 50% ATT. Lv 3: Dreno cosmo a 300 punti.</t>
  </si>
  <si>
    <t>Regole del Tribunale (Passivo)</t>
  </si>
  <si>
    <t>Lv 1: L'attacco normale rimuove 1 buff. Lv 2: Ogni 2 attacchi normali applica [Fiamma del Giudizio] e aggiorna la bruciatura. Lv 3: Rimuove 2 buff a ogni attacco normale.</t>
  </si>
  <si>
    <t>Hyôga (L'Erede dell'Acquario)</t>
  </si>
  <si>
    <t>Lv 1: Ottiene [Scudo della Perla] (100% PS max per 5s, recupera 500 cosmo/s, subisce il 30% dei danni degli alleati). Lancio attivo: Attacca il nemico con più DAN (15% PS max di Shiryu) e lo lancia in aria per 2s, riducendone permanentemente l'ATT del 17.5% (cumulabile fino a 3 volte). Lv 2: DAN 20% PS max. Lv 3: Riduzione ATT estesa ai nemici vicini. Inizio: 2.133s | Fine: 3.10s | Cosmos DANNO: 346</t>
  </si>
  <si>
    <t>Lv 1: Attacca tutti i nemici (12% PS max) e riduce il cosmo di 800 punti. Lv 2: Respingimento extra di 1s sui bersagli con ATT ridotto. Lv 3: Rigenera PS pari al 30% dei danni inflitti. Lv 4: Se ha meno del 50% di PS, ricarica ridotta del 40%. Inizio: 1.230s | Fine: 2.00s | Ritardo: 4.80s | Ricarica: 12.00s | Cosmos ATT: 1344 | Cosmos DANNO: 276</t>
  </si>
  <si>
    <t>L'Erede dell'Acquario</t>
  </si>
  <si>
    <t>Perla del Drago (Passivo)</t>
  </si>
  <si>
    <t>Lv 1: Per ogni 3% di PS persi ottiene 1% di riduzione DAN; subendo danni totali pari a 200% dei PS massimi ottiene il riconoscimento della Perla (+100% limite PS max e nuovo Scudo della Perla a ogni tecnica segreta). Lv 2: Aumenta DIF del 1% per ogni 3% di PS persi. Lv 3: Aumenta le cure ricevute dell'1% per ogni 3% di PS persi.</t>
  </si>
  <si>
    <t>Surplice di Stella del Eccellente [Rune - Esclusivo]</t>
  </si>
  <si>
    <t>Cuore Imperturbabile (Innesco)</t>
  </si>
  <si>
    <t>Lv 1: Sotto il 50% di PS recupera l'8% dei PS persi al secondo; se un alleato scende sotto il 30% di PS, Shiryu esplode respingendo i nemici e recuperando 1000 cosmo (max 2 volte). Lv 2: Recupera il 10% dei PS persi. Lv 3: Recupero cosmo a 1500 punti.</t>
  </si>
  <si>
    <t>Fiamma del Giudizio aumenta i danni da bruciatura del 60%.</t>
  </si>
  <si>
    <t>Bronze Cloth di Dragon [Shiryu - Esclusivo]</t>
  </si>
  <si>
    <t>2026-02-05</t>
  </si>
  <si>
    <t>Se rimossi 3+ buff, ricarica di Fire Whip ridotta del 20% (altrimenti 10%).</t>
  </si>
  <si>
    <t>437.769 / 652.793</t>
  </si>
  <si>
    <t>47.915 / 55.477</t>
  </si>
  <si>
    <t>Durata di Reincarnation estesa di 2 secondi.</t>
  </si>
  <si>
    <t>Rozan RyuhiSho drena 1200 punti cosmo.</t>
  </si>
  <si>
    <t>8.040 / 11384</t>
  </si>
  <si>
    <t>Rozan RyuhiSho infligge DAN pari al 16% dei PS massimi di Shiryu.</t>
  </si>
  <si>
    <t>Durante Reincarnation applica debuff extra (seduzione, panico o rottura) ogni 2 secondi.</t>
  </si>
  <si>
    <t>Il lancio attivo di Rozan ShoryuHa infligge danno reale.</t>
  </si>
  <si>
    <t>Ottiene [Volontà Inflessibile] per 3s con Rozan ShoryuHa (mantiene min 1 PS). Al primo danno letale lancia subito un Rozan ShoryuHa.</t>
  </si>
  <si>
    <t>Lv 1: Gelo oltre lo zero assoluto su tutti i nemici (danni al secondo pari al 5% della Vita massima, max 300% ATT, durata max 100s). Si interrompe se il bersaglio esegue 5 attacchi normali. Lv 2: DAN al secondo 6% della Vita massima. Lv 3: Durata max portata a 1000s. Inizio: 1.600s | Fine: 2.40s | Cosmos DANNO: 130</t>
  </si>
  <si>
    <t>Diamond Dust! (Ciclo)</t>
  </si>
  <si>
    <t>Lv 1: DAN 180% ATT e 1 accumulo di [Brivido Gelido]; se la vita scende sotto il 50% in 5s, [Congela] per 2s. Lv 2: DAN 240% ATT. Lv 3: Congelamento di 3s. Lv 4: Se congela il bersaglio, ricarica ridotta del 50%. Inizio: 2.434s | Fine: 3.50s | Ritardo: 5.00s | Ricarica: 11.00s | Cosmos ATT: 1040 | Cosmos DANNO: 346</t>
  </si>
  <si>
    <t>Lv 1: Turbine del Drago di Ghiaccio (8s) che applica [Brivido Gelido] casualmente (-15% Vel. ATT per 6s, max 3 livelli). Lv 2: Riduce la velocità di movimento di 10 punti. Lv 3: Durata del turbine aumentata a 10s. Inizio: 1.500s | Fine: 2.13s | Ritardo: 3.50s | Ricarica: 10.00s | Cosmos ATT: 878 | Cosmos DANNO: 268</t>
  </si>
  <si>
    <t>Per ogni livello di Fiamma del Giudizio, il bersaglio perde 400 cosmo extra ogni 2s.</t>
  </si>
  <si>
    <t>Aria Congelante (Passivo)</t>
  </si>
  <si>
    <t>Lv 1: Riduce le cure dei bersagli affetti da Brivido Gelido fino al 90%. Lv 2: Riduce il tempo di controllo subito e aumenta la Velocità per ogni accumulo di Freddo (max 100 punti). Lv 3: Riduce la precisione dei bersagli fino al 60%.</t>
  </si>
  <si>
    <t>Ogni alleato può attivare l'esplosione di Cuore Imperturbabile (intervallo 2s).</t>
  </si>
  <si>
    <t>Il cosmo sottratto dai nemici affetti da Fiamma del Giudizio viene trasferito interamente a Rune.</t>
  </si>
  <si>
    <t>Ogni volta che lo Scudo della Perla viene distrutto, Shiryu attiva immediatamente un'esplosione.</t>
  </si>
  <si>
    <t>Cignus Bronze Cloth [Hyoga - Esclusivo]</t>
  </si>
  <si>
    <t>Bonus Difesa: 26.40% | Schivata: 96.0 | Accelerazione: 9.0</t>
  </si>
  <si>
    <t>Bonus Difesa: 26.40% | Velocità Attacco: 7.50% | Effetto Cura Ricevuta: 4.20%</t>
  </si>
  <si>
    <t>SCHEDA PERSONAGGIO: Shun (Erede della Vergine)</t>
  </si>
  <si>
    <t>Diamond Dust infligge 240% ATT di danno base.</t>
  </si>
  <si>
    <t>Se non congela alcun nemico, ricarica di Diamond Dust ridotta del 25%.</t>
  </si>
  <si>
    <t>Ogni livello di brividi riduce la Vel. ATT del 20% e di 15 punti l'accelerazione.</t>
  </si>
  <si>
    <t>L'aria gelida di Aurora Execution infligge danno reale e non è rimovibile da dispersione o purificazione.</t>
  </si>
  <si>
    <t>A 0 PS ignora il colpo letale attivando Difesa di Ghiaccio per 4s (recupera 5% Vita max e 500 cosmo al secondo, invulnerabile e immobile).</t>
  </si>
  <si>
    <t>Durata di Difesa di Ghiaccio estesa a 5s; sigilla il nemico con l'ATT maggiore in un Freezing Coffin (5% Vita max persa al secondo e -500 cosmo).</t>
  </si>
  <si>
    <t>Bonus Salute: 12.00% | Precisione: 108.0 | Sanguisuga: 30.0</t>
  </si>
  <si>
    <t>Shun (Erede della Vergine)</t>
  </si>
  <si>
    <t>Erede della Vergine</t>
  </si>
  <si>
    <t>2026-03-05</t>
  </si>
  <si>
    <t>485.927 / 652.793</t>
  </si>
  <si>
    <t>42.796 / 55.477</t>
  </si>
  <si>
    <t>9.580 / 11384</t>
  </si>
  <si>
    <t>Lv 1: Conserva il 60% dei danni subiti; se i PS scendono sotto il 30%, li consuma per curarsi (intervallo 8s). Lancio attivo: Danno diretto a tutti i nemici (12% PS max di Shun) e crea una [corrente caotica] persistente (6s) che infligge [shock elettrico], aumenta i danni subiti del 15% e riflette il 50% dei danni inflitti dai nemici su loro stessi (max 30% PS max di Shun). Lv 2: Danno diretto 15% PS max. Lv 3: Durata corrente aumentata a 9s. Inizio: 1.100s | Fine: 2.13s | Cosmos DANNO: 268</t>
  </si>
  <si>
    <t>Area di Guarigione (Ciclo)</t>
  </si>
  <si>
    <t>Lv 1: Cura gli alleati nell'area (5% PS max al secondo per 4s) e assorbe i danni singoli in eccesso (superiori al 20% dei PS max). Lv 2: Riduce l'ATT della fila posteriore nemica del 25%. Lv 3: Durata aumentata di 2s se l'alleato ha un buff di DIF. Lv 4: Cura ricevuta da Shun aumentata del 40%. Inizio: 1.200s | Fine: 2.37s | Ritardo: 5.10s | Ricarica: 10.50s | Cosmos ATT: 1560</t>
  </si>
  <si>
    <t>Rolling Defense (Ciclo)</t>
  </si>
  <si>
    <t>Lv 1: A 2s dall'inizio lancia Rolling Defense (+30% DIF per 5s); alla scomparsa fornisce 60% di riduzione DAN decrescente (max 6s). Lancio successivo ogni 8s. Lv 2: Attiva la riduzione DAN se aggiorna l'aumento DIF. Lv 3: Aumento DIF portato al 40%. Inizio: 1.100s | Fine: 2.30s | Ritardo: 2.00s | Ricarica: 8.00s | Cosmos ATT: 1014</t>
  </si>
  <si>
    <t>Thunder Wave (Innesco)</t>
  </si>
  <si>
    <t>Lv 1: Le catene contrattaccano i controlli lanciati dai nemici, interrompendoli e applicando [shock elettrico] (+15% danni subiti per 3s, intervallo 6s). Lv 2: Intervallo ridotto a 5s. Lv 3: Intervallo ridotto a 4s.</t>
  </si>
  <si>
    <t>Andromeda Bronze Cloth [Shun Vergine - Esclusivo]</t>
  </si>
  <si>
    <t>La durata di Nebula Storm sale a 12 secondi.</t>
  </si>
  <si>
    <t>La percentuale di danno respinto da Nebula Storm sale al 75%.</t>
  </si>
  <si>
    <t>Curando sé stesso con il danno immagazzinato, cura anche tutti gli alleati della metà del valore.</t>
  </si>
  <si>
    <t>Sotto l'effetto di DIF aumentata di Rolling Defense, Shun non può morire.</t>
  </si>
  <si>
    <t>Bonus Salute: 30% | Bonus Difesa: 30% | Tenacia: 90 | Accelerazione: 30</t>
  </si>
  <si>
    <t>Quando l'aumento DIF scompare, gli alleati ottengono il 90% di riduzione DAN (decrescente del 15% al secondo).</t>
  </si>
  <si>
    <t>Lancia immediatamente Rolling Defense all'inizio della battaglia.</t>
  </si>
  <si>
    <t>Bonus Difesa: 26.40% | Schivata: 96.0 | Effetto Cura Ricevuta: 3.60%</t>
  </si>
  <si>
    <t>SCHEDA PERSONAGGIO: Albafica (Pesci)</t>
  </si>
  <si>
    <t>Albafica (Pesci)</t>
  </si>
  <si>
    <t>2026-05-07</t>
  </si>
  <si>
    <t>SCHEDA PERSONAGGIO: Ikki (Erede del Leone)</t>
  </si>
  <si>
    <t>404.980 / 652.793</t>
  </si>
  <si>
    <t>53.930 / 55.477</t>
  </si>
  <si>
    <t>7.352 / 11384</t>
  </si>
  <si>
    <t>Ikki (Erede del Leone)</t>
  </si>
  <si>
    <t>Bloody Rose (Arcano)</t>
  </si>
  <si>
    <t>Lv 1: Passiva: il DAN da [veleno] subito viene convertito in cura. Lancio attivo: consuma il 20% dei PS max per recuperare 20% Cosmi e applicare Bloody Rose a tutti i nemici (veleno da 40% ATT al secondo); dopo 4s esplode infliggendo DAN percentuali sui PS max in base ai livelli di [veleno]. Lv 2: Veleno al 60% ATT. Lv 3: Consuma il 25% dei PS per 25% Cosmo. Inizio: 2.133s | Fine: 2.87s | Cosmos DANNO: 268</t>
  </si>
  <si>
    <t>Erede del Leone</t>
  </si>
  <si>
    <t>Lv 1: Piranhan Rose su tutti i nemici (120% DAN, 1 livello di veleno da 25% ATT ogni 0.5s, accelerazione -10 per 4s). Lv 2: DAN 150% ATT. Lv 3: Accelerazione -15. Lv 4: Se il bersaglio ha Royal Demon Rose o veleno, causa [interruzione]. Inizio: 1.900s | Fine: 2.97s | Ritardo: 3.50s | Ricarica: 10.50s | Cosmos ATT: 1900 | Cosmos DANNO: 268</t>
  </si>
  <si>
    <t>SCHEDA PERSONAGGIO: Aldébaran (Toro)</t>
  </si>
  <si>
    <t>Royal Demon Rose (Passivo)</t>
  </si>
  <si>
    <t>Lv 1: Applica subito 3 livelli di [Veleno della Rosa] a tutti i nemici all'inizio; ogni veleno applicato aggiunge 1 livello (max 6), riducendo DAN del 5% e cure ricevute del 15% per livello. Lv 2: Attaccare nemici avvelenati restituisce 600 Cosmo extra. Lv 3: Restituisce 800 Cosmo extra.</t>
  </si>
  <si>
    <t>Crimson Thorn (Innesco)</t>
  </si>
  <si>
    <t>Lv 1: Quando un nemico avvelenato attacca Albafica, prolunga la durata del veleno di 0.5s. Alla morte, lancia Crimson Thorn sul killer infliggendo danno reale basato sui livelli di [Veleno della Rosa]. Lv 2: Prolunga di 1s. Lv 3: Cura gli alleati alla morte in base ai livelli di Veleno della Rosa.</t>
  </si>
  <si>
    <t>2026-06-25</t>
  </si>
  <si>
    <t>Pesci Gold Cloth [Albafica - Esclusivo]</t>
  </si>
  <si>
    <t>34.675 / 55.477</t>
  </si>
  <si>
    <t>10.393 / 11384</t>
  </si>
  <si>
    <t>1143 / 1160</t>
  </si>
  <si>
    <t>Bloody Rose esplode se viene rimossa per qualsiasi motivo.</t>
  </si>
  <si>
    <t>194 / 197</t>
  </si>
  <si>
    <t>Bloody Rose infligge danno reale.</t>
  </si>
  <si>
    <t>Aldébaran (Toro)</t>
  </si>
  <si>
    <t>Al lancio della tecnica segreta, fa perdere a tutti i nemici il 50% dei PS già persi.</t>
  </si>
  <si>
    <t>Al lancio della tecnica segreta, fa perdere a tutti i nemici il 100% dei PS già persi.</t>
  </si>
  <si>
    <t>Bonus Salute: 12% | Bonus ATT: 21% | Bonus Difesa: 9% | Critico: 90</t>
  </si>
  <si>
    <t>Lv 1: Corrente d'aria rovente su 3 nemici (300% ATT) con [Fiamma di Phoenix] (bruciatura che riduce la Tenacia del 8% e infligge 4% PS attuali al secondo per 6s, max 3 stack); respinge i bersagli già in bruciatura. Lv 2: Entra in stato [dominazione] per 5s dopo il lancio. Lv 3: Applica purificazione potente a sé e a 1 alleato a ogni stack. Inizio: 2.200s | Fine: 2.90s | Cosmos DANNO: 402</t>
  </si>
  <si>
    <t>Pugno Opprimente della Fenice (Ciclo)</t>
  </si>
  <si>
    <t>Lv 1: Bruciatura reciproca (8% PS max di Ikki al secondo per 4s) che immobilizza sé stesso e un nemico posteriore. Lv 2: Riflette il 50% dei danni subiti. Lv 3: Bruciatura al 10% PS max. Lv 4: Applica 1 livello di [Fiamma di Phoenix] ogni 2s al bersaglio. Inizio: 1.200s | Fine: 6.30s | Ritardo: 4.10s | Ricarica: 12.00s | Cosmos ATT: 1610 | Cosmos DANNO: 600</t>
  </si>
  <si>
    <t>Phoenix Genmaken (Apertura)</t>
  </si>
  <si>
    <t>Prolunga la durata del veleno di 1.5s quando un nemico avvelenato attacca Albafica.</t>
  </si>
  <si>
    <t>Lv 1: Lancia PhoenixGenmaken sul bersaglio corrispondente all'inizio della battaglia (1 livello di Fiamma di Phoenix e panico per 3s, drenando 400 Cosmo/s). Lv 2: Alla fine del panico applica confusione per 3s. Lv 3: A fine confusione applica un ulteriore livello di Fiamma di Phoenix. Inizio: 0.700s | Fine: 1.33s | Cosmos ATT: 1085 | Ordine d'azione: 30</t>
  </si>
  <si>
    <t>Determinazione della Fenice (Innesco)</t>
  </si>
  <si>
    <t>Finché Albafica è in campo, i nemici avvelenati hanno la velocità di recupero cosmo ridotta del 75%.</t>
  </si>
  <si>
    <t>Lv 1: Alla prima morte resuscita con l'80% di PS max e il 60% di Cosmo, applicando 1 livello di Fiamma di Phoenix a tutti i nemici. Lv 2: A 2s dalla resurrezione attiva i danni di Fiamma di Phoenix. Lv 3: Rilancia Phoenix Genmaken alla resurrezione.</t>
  </si>
  <si>
    <t>2026-08-27</t>
  </si>
  <si>
    <t>Phoenix Bronze Cloth [Ikki Erede - Esclusivo]</t>
  </si>
  <si>
    <t>463.839 / 652.793</t>
  </si>
  <si>
    <t>La tecnica segreta riduce del 25% la ricarica di Pugno della Fenice.</t>
  </si>
  <si>
    <t>La tecnica segreta riduce del 50% la ricarica di Pugno della Fenice.</t>
  </si>
  <si>
    <t>8.769 / 11384</t>
  </si>
  <si>
    <t>Pugno della Fenice colpisce contemporaneamente 2 nemici nella fila posteriore.</t>
  </si>
  <si>
    <t>Pugno della Fenice colpisce contemporaneamente 3 nemici nella fila posteriore.</t>
  </si>
  <si>
    <t>Determinazione della Fenice può attivare la resurrezione per ben 2 volte.</t>
  </si>
  <si>
    <t>Titan’s Nova (Arcano)</t>
  </si>
  <si>
    <t>Ogni volta che applica [Fiamma di Phoenix] rende sé stesso e 1 alleato immuni al congelamento per 3s.</t>
  </si>
  <si>
    <t>Lv 1: Colpo mortale su massimo 3 nemici frontali (160% ATT e 25% PS max di Hasgard) con sollevamento in aria per 2s. Lv 2: Riduce la DIF di tutti i nemici del 60% per 3s all'atterraggio. Lv 3: Durata della riduzione DIF estesa a 4s. Inizio: 2.133s | Fine: 3.40s | Cosmos DANNO: 268</t>
  </si>
  <si>
    <t>Great Horn (Ciclo)</t>
  </si>
  <si>
    <t>Lv 1: Onda d'urto alla velocità della luce (caricamento 1.8s, immune a interruzioni, riflette danni e abilità cicliche) su 3 nemici frontali (220% ATT e atterramento per 1s). Lv 2: Riflette 1 volta extra le abilità cicliche. Lv 3: Riduce l'accelerazione di 50 punti ai nemici con DIF ridotta per 3s. Lv 4: Ottiene accelerazione temporanea pari a quella sottratta. Inizio: 1.800s | Fine: 2.80s | Ritardo: 3.20s | Ricarica: 11.20s | Cosmos ATT: 1560 | Cosmos DANNO: 268</t>
  </si>
  <si>
    <t>Guardia Composta (Passivo)</t>
  </si>
  <si>
    <t>Lv 1: Ogni 6s usa purificazione potente su 1 alleato (priorità a chi ha più debuff) e fornisce uno scudo pari al 15% dei propri PS max per 5s. Lv 2: Intervallo ridotto a 5s. Lv 3: Intervallo ridotto a 4s.</t>
  </si>
  <si>
    <t>Discesa della Grande Stella (Passivo)</t>
  </si>
  <si>
    <t>Lv 1: Danni da tecnica segreta ridotti del 20%, danni da cicliche aumentati del 20%. Al primo danno letale purifica sé stesso, entra in stato risoluto bloccando i PS a 1 per 5s, poi muore. Lv 2: Danni tecnica segreta -30%, cicliche +30%. Lv 3: Stato risoluto duraturo per 6s.</t>
  </si>
  <si>
    <t>Toro Gold Cloth [Aldebaran Hasgard - Esclusivo]</t>
  </si>
  <si>
    <t>Titan Nova porta la riduzione DIF nemica all'80%.</t>
  </si>
  <si>
    <t>La riduzione DIF di Titan Nova dura 5 secondi.</t>
  </si>
  <si>
    <t>Ogni scudo ottenuto estende lo stato Risoluto di 2 secondi (fino a 3 volte).</t>
  </si>
  <si>
    <t>Durante lo stato Risoluto, infligge danni reali a tutti i nemici pari al 10% dei propri PS max al secondo.</t>
  </si>
  <si>
    <t>Bonus Salute: 21% | Bonus ATT: 15% | Bonus Difesa: 15% | Accelerazione: 30</t>
  </si>
  <si>
    <t>Con ogni purificazione di Guardia Composta, anche l'alleato purificato riceve uno scudo del 15% dei PS max di Hasgard (durata 5s).</t>
  </si>
  <si>
    <t>Lo scudo aumenta al 20% dei PS max e la purificazione potente viene lanciata contemporaneamente anche su sé stesso.</t>
  </si>
  <si>
    <t>Bonus Salute: 12.00% | Schivata: 96.0 | Sanguisuga: 30.0</t>
  </si>
  <si>
    <t>SCHEDA PERSONAGGIO: Argeti (Eracle)</t>
  </si>
  <si>
    <t>Argeti (Eracle)</t>
  </si>
  <si>
    <t>Eracle</t>
  </si>
  <si>
    <t>Nessuna / Standard</t>
  </si>
  <si>
    <t>539.362 / 652.793</t>
  </si>
  <si>
    <t>37.242 / 55.477</t>
  </si>
  <si>
    <t>9.107 / 11384</t>
  </si>
  <si>
    <t>Corneolos (Arcano)</t>
  </si>
  <si>
    <t>Lv 1: Atterra i nemici frontali (55% ATT a colpo) mentre è immune ai controlli. Lv 2: DAN 60% ATT. Lv 3: Riduzione DAN subito dell'80% durante il lancio. Inizio: 0.333s | Fine: 5.50s | Cosmos DANNO: 71</t>
  </si>
  <si>
    <t>Crushing Strike (Ciclo)</t>
  </si>
  <si>
    <t>Lv 1: DAN 250% ATT a un nemico casuale frontale e stordimento per 4s. Lv 2: DAN 280% ATT. Lv 3: Ottiene scudo pari al 300% dell'ATT per 6s. Lv 4: DAN 320% ATT. Inizio: 1.800s | Fine: 2.33s | Ritardo: 6.60s | Ricarica: 11.00s | Cosmos ATT: 1760 | Cosmos DANNO: 600</t>
  </si>
  <si>
    <t>Guard of Eracle (Passivo)</t>
  </si>
  <si>
    <t>Lv 1: Più i PS sono bassi, maggiore è l'ATT (fino a +80%). Lv 2: Più i PS sono bassi, maggiore è la vel. ATT (fino a +40%). Lv 3: ATT fino a +120% e vel. ATT fino a +60%.</t>
  </si>
  <si>
    <t>Power of the Dead (Innesco)</t>
  </si>
  <si>
    <t>Lv 1: Subendo danni, ottiene [inestinguibile] per 3s (1 volta per battaglia; disperdibile solo con la forza). Lv 2: Ottiene 1000 Cosmo al secondo in stato inestinguibile. Lv 3: Durata a 4s e ottiene [benedizione] (immunità ai controlli tranne interruzione).</t>
  </si>
  <si>
    <t>Eracle Silver Cloth [Argeti - Esclusivo]</t>
  </si>
  <si>
    <t>Heracles Moshu Ken converte il 50% del danno inflitto in cure per sé stesso.</t>
  </si>
  <si>
    <t>Conversione in cure portata al 75%.</t>
  </si>
  <si>
    <t>Alla fine di Power of the Dead, riceve uno scudo pari al 50% della sua salute massima.</t>
  </si>
  <si>
    <t>Durata di Power of the Dead prolungata di 2 secondi.</t>
  </si>
  <si>
    <t>Bonus Salute: 27% | Bonus ATT: 9% | Bonus Difesa: 15% | Schivata: 60</t>
  </si>
  <si>
    <t>Crushing Strike riduce la DIF del bersaglio del 20% per 4s.</t>
  </si>
  <si>
    <t>Riduzione DIF portata al 40% per 4s.</t>
  </si>
  <si>
    <t>SCHEDA PERSONAGGIO: Shaina (Ofiuco)</t>
  </si>
  <si>
    <t>Bonus Salute: 12.00% | Effetto Cura Ricevuta: 6.00% | Bonus Difesa: 16.20%</t>
  </si>
  <si>
    <t>Bonus Attacco: 7.50% | Fermezza: 132.0 | Bonus Salute: 6.90%</t>
  </si>
  <si>
    <t>Shaina (Ofiuco)</t>
  </si>
  <si>
    <t>Ofiuco</t>
  </si>
  <si>
    <t>381.040 / 652.793</t>
  </si>
  <si>
    <t>SCHEDA PERSONAGGIO: Dante (Cerbero)</t>
  </si>
  <si>
    <t>7.402 / 11384</t>
  </si>
  <si>
    <t>Thunder Claw (Arcano)</t>
  </si>
  <si>
    <t>Lv 1: 7 attacchi casuali (130% ATT a colpo) con immunità all'attacco durante l'esecuzione. Lv 2: DAN 160% ATT. Lv 3: 50% di probabilità di applicare [shock elettrico] (+25% danni subiti per 2s). Inizio: 1.150s | Fine: 4.00s | Cosmos DANNO: 129</t>
  </si>
  <si>
    <t>Claw Assault (Ciclo)</t>
  </si>
  <si>
    <t>Lv 1: DAN 300% ATT a un nemico e scudo pari al 300% dell'ATT per 6s. Lv 2: DAN 330% ATT. Lv 3: DAN critico +25% per 6s. Lv 4: Scudo al 375%. Inizio: 0.630s | Fine: 0.80s | Ritardo: 2.90s | Ricarica: 10.00s | Cosmos ATT: 1290 | Cosmos DANNO: 600</t>
  </si>
  <si>
    <t>Weakness Tracking (Passivo)</t>
  </si>
  <si>
    <t>Lv 1: Sui colpi critici infligge DAN extra pari al 10% del danno appena fatto. Lv 2: DAN extra al 15%. Lv 3: Recupera PS pari al 50% del danno critico inflitto.</t>
  </si>
  <si>
    <t>Saint Focus (Passivo)</t>
  </si>
  <si>
    <t>Lv 1: I colpi non critici danno un livello di [opportunismo] (+5% prob. crit). Si azzera sul critico. Lv 2: Ogni livello dà anche +5% DAN critico. Lv 3: Prob. crit e DAN critico +6% per livello.</t>
  </si>
  <si>
    <t>Dante (Cerbero)</t>
  </si>
  <si>
    <t>Ophiucus Silver Cloth [Shaina - Esclusivo]</t>
  </si>
  <si>
    <t>Cerbero</t>
  </si>
  <si>
    <t>Subendo un critico, il bersaglio subisce shock elettrico (+20% danni subiti e rischio rigidità).</t>
  </si>
  <si>
    <t>Shock elettrico aumenta i danni subiti del 30%.</t>
  </si>
  <si>
    <t>446.255 / 652.793</t>
  </si>
  <si>
    <t>A Saint Focus max, ottiene uno strato di Focus ogni 2 secondi.</t>
  </si>
  <si>
    <t>45.699 / 55.477</t>
  </si>
  <si>
    <t>Strato di Focus ottenuto ogni 1 secondo.</t>
  </si>
  <si>
    <t>8.214 / 11384</t>
  </si>
  <si>
    <t>Chains of Hell (Arcano)</t>
  </si>
  <si>
    <t>Thunder Claw applica sempre shock elettrico e aumenta i danni extra del 10%.</t>
  </si>
  <si>
    <t>Lv 1: Potenziamento di 8s (+80% vel. ATT, +60% recupero salute, colpisce la prima fila nemica e riduce le cure ricevute del 50% per 4s). Lv 2: Vel. ATT +120%, recupero salute +90%, durata 10s. Lv 3: Vel. ATT +160%, recupero salute +120%, durata 12s. Inizio: 0.600s | Fine: 1.30s | Cosmos DANNO: 186</t>
  </si>
  <si>
    <t>Attaccando un nemico con shock elettrico, il colpo è sempre un critico.</t>
  </si>
  <si>
    <t>Bloodthirst (Alone)</t>
  </si>
  <si>
    <t>Lv 1: Sanguisuga di Dante a 100. Lv 2: Sanguisuga di tutti gli alleati +50. Lv 3: Sanguisuga di Dante a 150. Lv 4: Sanguisuga di tutti gli alleati +80 (alleati di fuoco +40 extra).</t>
  </si>
  <si>
    <t>Bonus Salute: 12.00% | Schivata: 96.0 | Critico: 60.0</t>
  </si>
  <si>
    <t>Bonus Attacco: 10.50% | Critico: 96.0</t>
  </si>
  <si>
    <t>Bonus Difesa: 43.80% | Precisione: 108.0</t>
  </si>
  <si>
    <t>SCHEDA PERSONAGGIO: Aiolia (Leone)</t>
  </si>
  <si>
    <t>Chain of Life (Ciclo)</t>
  </si>
  <si>
    <t>Lv 1: Rimuove i debuff e rende immuni a controlli e debuff per 6s. Lv 2: Danni subiti ridotti del 50%. Lv 3: Effetto esteso anche all'alleato con meno salute. Inizio: 0.001s | Fine: 1.50s | Ritardo: 3.60s | Ricarica: 9.00s | Cosmos ATT: 1260</t>
  </si>
  <si>
    <t>Cerberus Bite (Passivo)</t>
  </si>
  <si>
    <t>Lv 1: Gli attacchi normali consumano l'8% della salute attuale e infliggono DAN pari a 1.5 volte la salute consumata. Lv 2: DAN extra pari a 1.75 volte. Lv 3: DAN extra pari a 2 volte.</t>
  </si>
  <si>
    <t>Cerbero Silver Cloth [Dante - Esclusivo]</t>
  </si>
  <si>
    <t>Aiolia (Leone)</t>
  </si>
  <si>
    <t>Durante Chains of Hell, ogni eliminazione o assistenza resetta la durata dell'effetto.</t>
  </si>
  <si>
    <t>Ogni eliminazione o assistenza ripristina il 20% della salute massima.</t>
  </si>
  <si>
    <t>Cure e sanguisuga ricevute aumentate del 25%.</t>
  </si>
  <si>
    <t>Cure e sanguisuga ricevute aumentate del 50%.</t>
  </si>
  <si>
    <t>Velocità d'attacco aumentata in base alla riduzione dei PS (fino a +90%).</t>
  </si>
  <si>
    <t>ATT e sanguisuga aumentati in base alla riduzione dei PS (fino a +60% ATT e +30% sanguisuga).</t>
  </si>
  <si>
    <t>1070 / 1160</t>
  </si>
  <si>
    <t>182 / 197</t>
  </si>
  <si>
    <t>Bonus Attacco: 7.50% | Tenacia: 114.0 | Bonus Difesa: 16.80%</t>
  </si>
  <si>
    <t>Bonus Difesa: 26.40% | Sanguisuga: 48.0 | Velocità Attacco: 5.70%</t>
  </si>
  <si>
    <t>Lightning Bolt (Arcano)</t>
  </si>
  <si>
    <t>Lv 1: Rete elettrica su 3 nemici (280% ATT) che converte il 30% del danno in cura per sé stesso. Lv 2: DAN 300% e cura al 40%. Lv 3: DAN 320% e cura al 50%. Inizio: 1.150s | Fine: 3.03s | Cosmos DANNO: 87</t>
  </si>
  <si>
    <t>Lion Smash (Ciclo)</t>
  </si>
  <si>
    <t>Lv 1: DAN 200% ATT sulla fila posteriore e [shock elettrico] (+25% danni subiti per 6s, probabilità di rigidità). Lv 2: Danni extra al 35%. Lv 3: DAN 220%. Lv 4: Durata shock elettrico a 8s. Inizio: 0.633s | Fine: 1.10s | Ritardo: 3.20s | Ricarica: 10.00s | Cosmos ATT: 1100 | Cosmos DANNO: 424</t>
  </si>
  <si>
    <t>Ruggito del Leone (Innesco)</t>
  </si>
  <si>
    <t>Lv 1: Ogni abilità usata dà un livello permanente di [Ruggito del Leone] (+15% vel. ATT, max 5); i controlli fanno perdere 3 livelli (intervallo 4s). Lv 2: Ogni 2% di vel. ATT aumenta ATT e DIF dell'1%. Lv 3: Ogni 1% di vel. ATT aumenta ATT e DIF dell'1%.</t>
  </si>
  <si>
    <t>Guardia del Santuario (Innesco)</t>
  </si>
  <si>
    <t>Lv 1: Finché è in vita, l'eliminazione di un nemico da parte degli alleati aumenta il loro ATT del 10% (max 3 volte). Lv 2: Ogni eliminazione ripristina 1600 cosmo a tutti gli alleati (max 3 volte). Lv 3: Aumento ATT portato al 15%.</t>
  </si>
  <si>
    <t>Leone Gold Cloth [Aiolia - Esclusivo]</t>
  </si>
  <si>
    <t>Lightning Bolt applica shock elettrico (+30% danni subiti e probabilità di rigidità per 6s).</t>
  </si>
  <si>
    <t>Lightning Bolt aumenta l'auto-cura dell'80%.</t>
  </si>
  <si>
    <t>Dopo un'uccisione, rimuove immediatamente tutti i controlli e debuff da sé stesso.</t>
  </si>
  <si>
    <t>Dopo un'uccisione, carica al massimo l'abilità Ruggito del Leone.</t>
  </si>
  <si>
    <t>Bonus Salute: 15% | Bonus ATT: 21% | Bonus Difesa: 6% | Critico: 90</t>
  </si>
  <si>
    <t>Lion Smash fornisce uno scudo extra pari al 200% dell'ATT per 4s.</t>
  </si>
  <si>
    <t>La durata dello shock elettrico di Lion Smash aumenta di 15 secondi (accumulabile fino a lv. 3).</t>
  </si>
  <si>
    <t>Bonus Difesa: 26.40% | Sanguisuga: 48.0 | Velocità Attacco: 5.40%</t>
  </si>
  <si>
    <t>SCHEDA PERSONAGGIO: Mû (Ariete)</t>
  </si>
  <si>
    <t>Mû (Ariete)</t>
  </si>
  <si>
    <t>468.303 / 652.793</t>
  </si>
  <si>
    <t>8.687 / 11384</t>
  </si>
  <si>
    <t>Starlight Extinction (Arcano)</t>
  </si>
  <si>
    <t>Lv 1: DAN 280% ATT alla fila posteriore nemica e [cecità] per 4s (i colpi non possono centrare i bersagli). Lv 2: DAN 320% ATT. Lv 3: Recupero cosmo dei bersagli cecati ridotto del 30%. Inizio: 1.500s | Fine: 2.70s | Cosmos DANNO: 520</t>
  </si>
  <si>
    <t>Lv 1: Protegge la squadra con riduzione DAN del 25% per 4s (non disperdibile). Lv 2: Fornisce [benedizione] (immunità ai controlli tranne interruzione) per 4s. Lv 3: Riduzione DAN al 35%. Lv 4: Durata a 5s. Inizio: 1.150s | Fine: 2.30s | Ritardo: 4.50s | Ricarica: 13.50s | Cosmos ATT: 990</t>
  </si>
  <si>
    <t>Starlight Healing (Ciclo)</t>
  </si>
  <si>
    <t>Lv 1: Cura il Saint con la salute percentuale più bassa (300% ATT). Lv 2: Cura continuativa di 3s (75% ATT al secondo). Lv 3: Fornisce [invincibilità] al bersaglio curato. Inizio: 0.050s | Fine: 1.33s | Ritardo: 6.00s | Ricarica: 9.00s | Cosmos ATT: 1080</t>
  </si>
  <si>
    <t>Crystal Net (Innesco)</t>
  </si>
  <si>
    <t>Lv 1: Se un nemico ha 2+ buff, ne disperde 2 e applica [silenzio] (intervallo 5s). Lv 2: Disperde tutti i buff e riduce l'intervallo a 3.5s. Lv 3: Quando lancia Crystal Wall, riduce ATT e DIF nemica del 50% per 5s.</t>
  </si>
  <si>
    <t>Ariete Gold Cloth [Mu - Esclusivo]</t>
  </si>
  <si>
    <t>Durante Crystal Wall, tutti i membri guariscono del 5% della salute mancante al secondo.</t>
  </si>
  <si>
    <t>Riduzione DAN di Crystal Wall portata al 50%.</t>
  </si>
  <si>
    <t>Cura di Crystal Wall portata all'8% della salute mancante al secondo.</t>
  </si>
  <si>
    <t>Durata di Crystal Wall aumentata di 8 secondi.</t>
  </si>
  <si>
    <t>Bonus Salute: 18% | Bonus ATT: 18% | Bonus Difesa: 9% | Schivata: 60</t>
  </si>
  <si>
    <t>La prima volta che i PS scendono sotto il 30%, ottiene uno scudo del 300% dell'ATT per 5s.</t>
  </si>
  <si>
    <t>La prima volta che i PS scendono sotto il 30%, rimuove tutti i debuff e resetta la ricarica di Crystal Wall.</t>
  </si>
  <si>
    <t>Bonus Salute: 12.00% | Fermezza: 132.0 | Bonus Difesa: 17.10%</t>
  </si>
  <si>
    <t>Bonus Attacco: 7.50% | Effetto Cura: 6.00% | Bonus Salute: 6.00%</t>
  </si>
  <si>
    <t>Bonus Difesa: 26.40% | Schivata: 96.0 | Tenacia: 60.0</t>
  </si>
  <si>
    <t>SCHEDA PERSONAGGIO: Aiolos (Sagittario)</t>
  </si>
  <si>
    <t>Aiolos (Sagittario)</t>
  </si>
  <si>
    <t>2022-07-22</t>
  </si>
  <si>
    <t>396.438 / 652.793</t>
  </si>
  <si>
    <t>54.900 / 55.477</t>
  </si>
  <si>
    <t>6.580 / 11384</t>
  </si>
  <si>
    <t>SCHEDA PERSONAGGIO: Misty (Lucertola)</t>
  </si>
  <si>
    <t>Freccia d'Oro (Arcano)</t>
  </si>
  <si>
    <t>Lv 1: Scocca la Freccia d'Oro sul nemico frontale (500% ATT, inarrestabile, ignora il 15% di DIF). Se elimina il bersaglio, recupera 4500 cosmo. Lv 2: DAN 550% ATT. Lv 3: Ignora 30% DIF e recupera 6000 cosmo in caso di uccisione. Inizio: 1.950s | Fine: 2.64s | Cosmos DANNO: 900</t>
  </si>
  <si>
    <t>Dark Arrow (Ciclo)</t>
  </si>
  <si>
    <t>Lv 1: Freccia oscura sull'ombra nemica (260% ATT e stordimento per 3s). Lv 2: DAN 300% ATT. Lv 3: Applica [bruciatura] per 6s (60% ATT ogni 2s) aumentando la probabilità di critico contro il bersaglio. Lv 4: Durata bruciatura a 8s. Inizio: 0.833s | Fine: 1.90s | Ritardo: 2.60s | Ricarica: 10.00s | Cosmos ATT: 1260 | Cosmos DANNO: 600</t>
  </si>
  <si>
    <t>Protezione d'Atena (Innesco)</t>
  </si>
  <si>
    <t>Lv 1: Ogni 25% di salute persa si purifica ed entra in stato esplosione (+20% ATT e vel. ATT per 4s). Lv 2: ATT e DIF +25% e ottiene [benedizione] (immunità ai controlli). Lv 3: Ottiene anche +15% di sanguisuga. Inizio: 0.001s | Fine: 1.57s</t>
  </si>
  <si>
    <t>Giustiziere (Passivo)</t>
  </si>
  <si>
    <t>Lv 1: Quando un alleato recupera cosmo, Aiolos ne recupera l'8%. Lv 2: Recupero all'10%. Lv 3: Recupero al 12%.</t>
  </si>
  <si>
    <t>Misty (Lucertola)</t>
  </si>
  <si>
    <t>Lucertola</t>
  </si>
  <si>
    <t>Sagittario Gold Cloth [Aiolos - Esclusivo]</t>
  </si>
  <si>
    <t>Freccia d'Oro fa recuperare 2000 cosmo anche se non uccide il bersaglio.</t>
  </si>
  <si>
    <t>Recupero cosmo a 3000 in caso di mancata uccisione.</t>
  </si>
  <si>
    <t>555.864 / 652.793</t>
  </si>
  <si>
    <t>Protezione d'Atena aumenta ulteriormente ATT e vel. ATT del 30% e sanguisuga del 15%. Con Atena in campo in stato esplosione ottiene 50% di riduzione DAN.</t>
  </si>
  <si>
    <t>32.608 / 55.477</t>
  </si>
  <si>
    <t>11.384 / 11384</t>
  </si>
  <si>
    <t>Diventa immune a danni, controlli e debuff per 2 secondi all'attivazione di Protezione d'Atena.</t>
  </si>
  <si>
    <t>1154 / 1160</t>
  </si>
  <si>
    <t>196 / 197</t>
  </si>
  <si>
    <t>Muro d’Aria (Arcano)</t>
  </si>
  <si>
    <t>Lv 1: Scudo protettivo a tutti gli alleati (250% ATT) per 8s che cura del 15% dell'ATT al secondo. Lv 2: Cura del 25% dell'ATT al secondo. Lv 3: Scudo al 300% dell'ATT. Inizio: 1.167s | Fine: 2.93s</t>
  </si>
  <si>
    <t>Air Surge (Ciclo)</t>
  </si>
  <si>
    <t>Ottiene +15% di precisione extra quando lancia Freccia d'Oro.</t>
  </si>
  <si>
    <t>Lv 1: DAN 320% ATT a un nemico frontale, lo lancia [in aria] per 3s e ottiene 25% di riduzione DAN per 6s. Lv 2: Riduzione DAN al 35%. Lv 3: DAN 360% ATT. Lv 4: Durata in aria a 4s. Inizio: 0.267s | Fine: 1.80s | Ritardo: 3.70s | Ricarica: 10.50s | Cosmos ATT: 1200 | Cosmos DANNO: 600</t>
  </si>
  <si>
    <t>Protezione d’Aria (Ciclo)</t>
  </si>
  <si>
    <t>Precisione extra portata a +40% al lancio di Freccia d'Oro.</t>
  </si>
  <si>
    <t>Lv 1: Cura i 2 alleati con meno salute (150% ATT) e dà uno scudo del 150% ATT per 5s. Lv 2: Riduce la prob. di critico subita del 30% sotto scudo. Lv 3: Riduzione prob. critico al 40%. Inizio: 1.200s | Fine: 1.80s | Ritardo: 5.40s | Ricarica: 11.00s | Cosmos ATT: 1660</t>
  </si>
  <si>
    <t>Scudo di Vento (Innesco)</t>
  </si>
  <si>
    <t>Lv 1: Subendo danni &gt;10% dei PS max, ottiene uno scudo di vento (assorbe 300% ATT, intervallo 4s). Lv 2: Se distrutto, drena 1500 cosmo e riduce la vel. ATT del bersaglio del 30% per 4s. Lv 3: Assorbimento scudo a 350% ATT.</t>
  </si>
  <si>
    <t>Bonus Attacco: 7.50% | Critico: 96.0 | Precisione: 60.0</t>
  </si>
  <si>
    <t>Lucertola Silver Cloth [Misty - Esclusivo]</t>
  </si>
  <si>
    <t>Air Surge colpisce contemporaneamente due nemici della fila anteriore.</t>
  </si>
  <si>
    <t>Air Surge riduce del 70% la velocità di acquisizione del cosmo nemico per 6s.</t>
  </si>
  <si>
    <t>Muro d'Aria cura del 35% dell'ATT al secondo.</t>
  </si>
  <si>
    <t>La durata di Muro d'Aria diventa illimitata.</t>
  </si>
  <si>
    <t>Bonus Salute: 24% | Bonus ATT: 12% | Bonus Difesa: 12% | Precisione: 60</t>
  </si>
  <si>
    <t>Scudo di vento aumenta l'assorbimento al 400% dell'ATT.</t>
  </si>
  <si>
    <t>Il requisito di attivazione dello scudo di vento scende dal 10% all'8% dei PS massimi di danno subito.</t>
  </si>
  <si>
    <t>Bonus Attacco: 7.50% | Effetto Cura: 6.00% | Bonus Salute: 3.90%</t>
  </si>
  <si>
    <t>Bonus Difesa: 22.50% | Schivata: 96.0 | Effetto Cura Ricevuta: 3.60%</t>
  </si>
  <si>
    <t>SCHEDA PERSONAGGIO: Jamian (Corvo)</t>
  </si>
  <si>
    <t>Jamian (Corvo)</t>
  </si>
  <si>
    <t>Corvo</t>
  </si>
  <si>
    <t>47.981 / 55.477</t>
  </si>
  <si>
    <t>7.806 / 11384</t>
  </si>
  <si>
    <t>SCHEDA PERSONAGGIO: Dios (Mosca)</t>
  </si>
  <si>
    <t>Black Wing Shaft (Arcano)</t>
  </si>
  <si>
    <t>Lv 1: Richiama corvi contro tutti i nemici (90% ATT al secondo per 7s). Lv 2: DAN 100% ATT al secondo. Lv 3: DAN 110% ATT al secondo e recupera salute pari al 25% del danno inflitto. Inizio: 2.900s | Fine: 11.50s | Cosmos DANNO: 29</t>
  </si>
  <si>
    <t>Protezione dei Corvi (Apertura)</t>
  </si>
  <si>
    <t>Lv 1: Evoca 3 corvi protettivi all'inizio (ciascuno assorbe l'8% dei danni subiti; max 6 corvi). Guadagna 1 corvo ogni 15% PS max recuperati, ne perde 1 ogni 15% PS max persi. Lv 2: La perdita di un corvo riduce la vel. ATT di un nemico casuale del 30% per 6s. Lv 3: Riduzione vel. ATT al 35% per 7s. Lv 4: Riduzione vel. ATT al 40% per 8s. Inizio: 0.001s | Fine: 0.10s | Ordine d'azione: 1800</t>
  </si>
  <si>
    <t>Black Wing (Ciclo)</t>
  </si>
  <si>
    <t>Lv 1: Invia un corvo protettivo: su un alleato aumenta ATT e DIF del 25% per 5s; su un nemico infligge 180% ATT e rigenera a Jamian la metà del danno inflitto. Lv 2: Buff alleato al 30%, DAN nemico al 200%. Lv 3: Buff alleato al 35%, DAN nemico al 220%. Inizio: 0.200s | Fine: 1.10s | Ritardo: 4.60s | Ricarica: 12.00s | Cosmos ATT: 1860 | Cosmos DANNO: 424</t>
  </si>
  <si>
    <t>Attacco Pesante (Innesco)</t>
  </si>
  <si>
    <t>Lv 1: Perdendo 3 corvi, infligge 280% ATT al nemico con l'ATT maggiore e riduce il suo ATT del 50% per 6s (intervallo 10s). Lv 2: Aggiunge [silenzio] per 3s. Lv 3: DAN 320% ATT e riduzione ATT estesa a 8s.</t>
  </si>
  <si>
    <t>Dios (Mosca)</t>
  </si>
  <si>
    <t>Mosca</t>
  </si>
  <si>
    <t>Corvo Silver Cloth [Jamian - Esclusivo]</t>
  </si>
  <si>
    <t>Il danno finale di Black Wing Shaft aumenta del 5% per ogni corvo posseduto.</t>
  </si>
  <si>
    <t>385.103 / 652.793</t>
  </si>
  <si>
    <t>Aumento del danno finale all'8% per corvo.</t>
  </si>
  <si>
    <t>49.932 / 55.477</t>
  </si>
  <si>
    <t>Protezione dei Corvi permette di evocare fino a 6 corvi sul campo.</t>
  </si>
  <si>
    <t>7.483 / 11384</t>
  </si>
  <si>
    <t>Evoca 1 corvo ogni volta che recupera un totale del 10% di PS massimi.</t>
  </si>
  <si>
    <t>Bonus Salute: 12% | Bonus ATT: 18% | Bonus Difesa: 12% | Critico: 60</t>
  </si>
  <si>
    <t>Dead End Fly (Arcano)</t>
  </si>
  <si>
    <t>Lv 1: DAN 320% ATT al bersaglio frontale e lancio [in aria] per 3s (immune a interruzioni e controlli). Lv 2: Danni aumentati dell'1% per ogni 1% di PS persi dal bersaglio. Lv 3: Durata in aria a 4s. Inizio: 0.800s | Fine: 1.80s | Cosmos DANNO: 129</t>
  </si>
  <si>
    <t>Con 6 corvi attivi, Jamian diventa immune a controllo e interruzione.</t>
  </si>
  <si>
    <t>Premio per la Vittoria (Ciclo)</t>
  </si>
  <si>
    <t>Lv 1: DAN 300% ATT a un bersaglio casuale; se muore entro 3s ottiene [marchio della vittoria] (recupera 5% PS max al secondo per 6s). Uccisioni o assistenze in stato di marchio ne azzerano il timer e accumulano +10% ATT e DIF permanenti. Lv 2: DAN 330% ATT. Lv 3: Recupero salute al 6% PS max. Lv 4: Durata a 8s. Inizio: 0.234s | Fine: 0.80s | Ritardo: 4.40s | Ricarica: 10.00s | Cosmos ATT: 1400 | Cosmos DANNO: 600</t>
  </si>
  <si>
    <t>Ogni corvo aumenta ATT e DIF di Jamian del 6% e fornisce +4% di sanguisuga e riduzione DAN.</t>
  </si>
  <si>
    <t>Caccia Spietata (Innesco)</t>
  </si>
  <si>
    <t>Lv 1: Con nemici a &lt;50% di salute, entra in stato [cacciatore] (+25% prob. crit). Lv 2: Aggiunge +25% vel. ATT. Lv 3: Vel. ATT e prob. crit portate a +30%.</t>
  </si>
  <si>
    <t>Prepotenza (Passivo)</t>
  </si>
  <si>
    <t>Bonus Salute: 12.00% | Precisione: 108.0 | Critico: 60.0</t>
  </si>
  <si>
    <t>Lv 1: Se ha meno salute del bersaglio, DAN +20%; se ha più salute, riduce il DAN del bersaglio del 20%. Lv 2: DAN +25% / riduzione DAN nemico 15%. Lv 3: DAN +30% / riduzione DAN nemico 10%.</t>
  </si>
  <si>
    <t>Bonus Difesa: 22.50% | Velocità Attacco: 7.50% | Bonus Attacco: 3.30%</t>
  </si>
  <si>
    <t>Mosca Silver Cloth [Dios - Esclusivo]</t>
  </si>
  <si>
    <t>In stato di Caccia, la sanguisuga aumenta del 15%.</t>
  </si>
  <si>
    <t>Sanguisuga portata al 25%.</t>
  </si>
  <si>
    <t>In stato di Caccia, i danni subiti da Dios si riducono del 50%.</t>
  </si>
  <si>
    <t>In stato di Caccia, Dios diventa immune agli effetti di controllo.</t>
  </si>
  <si>
    <t>Bonus Salute: 6% | Bonus ATT: 24% | Bonus Difesa: 6% | Critico: 90</t>
  </si>
  <si>
    <t>Recupera immediatamente il 50% dei PS persi all'eliminazione di un nemico (propria o di un alleato).</t>
  </si>
  <si>
    <t>Ogni eliminazione aumenta l'ATT e l'effetto cura del 10% (cumulabile fino a 5 volte).</t>
  </si>
  <si>
    <t>Bonus Salute: 12.00% | Schivata: 96.0 | Sanguisuga: 21.0</t>
  </si>
  <si>
    <t>Bonus Attacco: 10.80% | Tenacia: 114.0</t>
  </si>
  <si>
    <t>Bonus Difesa: 39.30% | Sanguisuga: 48.0</t>
  </si>
  <si>
    <t>SCHEDA PERSONAGGIO: Tremy (Freccia)</t>
  </si>
  <si>
    <t>SCHEDA PERSONAGGIO: Camus (Acquario)</t>
  </si>
  <si>
    <t>Tremy (Freccia)</t>
  </si>
  <si>
    <t>Camus (Acquario)</t>
  </si>
  <si>
    <t>369.006 / 652.793</t>
  </si>
  <si>
    <t>51.395 / 55.477</t>
  </si>
  <si>
    <t>7.320 / 11384</t>
  </si>
  <si>
    <t>Phantom Arrow (Arcano)</t>
  </si>
  <si>
    <t>Lv 1: DAN 450% ATT a un nemico casuale e -25% ATT e DIF per 8s (se Atena Dea della Terra è in campo, ha priorità assoluta su di lei). Lv 2: DAN 500% ATT. Lv 3: DAN 550% ATT. Inizio: 1.233s | Fine: 3.27s | Cosmos DANNO: 180</t>
  </si>
  <si>
    <t>Preda Catturata (Ciclo)</t>
  </si>
  <si>
    <t>Lv 1: Attacca il nemico con il cosmo più alto (305% ATT), drena 1500 cosmo e riduce la vel. ATT del 30% per 6s. Lv 2: DAN 335% ATT. Lv 3: Drena 2000 cosmo e riduce il recupero cosmo del 25% per 6s. Lv 4: DAN 365% ATT. Inizio: 0.667s | Fine: 1.33s | Ritardo: 5.00s | Ricarica: 12.00s | Cosmos ATT: 900 | Cosmos DANNO: 420</t>
  </si>
  <si>
    <t>Attacco Mirato (Apertura)</t>
  </si>
  <si>
    <t>Lv 1: All'inizio punta 2 nemici (200% ATT) e applica [marchio del bersaglio] per 8s (subiscono DAN extra pari a 60% dell'ATT di Tremy a ogni attacco, max 1 al secondo). Lv 2: DAN 220% / DAN marchio 80%. Lv 3: Durata marchio a 10s. Inizio: 0.001s | Fine: 1.37s | Ordine d'azione: 90</t>
  </si>
  <si>
    <t>Freccia d'Oro (Passivo)</t>
  </si>
  <si>
    <t>49.456 / 55.477</t>
  </si>
  <si>
    <t>Lv 1: Gli attacchi normali riducono ATT e DIF del 25% per 6s (max 3 stack). L'ultimo colpo di Phantom Arrow applica [Freccia d'Oro] (drena 3000 cosmo, riduce il recupero cosmo del 20% per 12s). Lv 2: [Freccia d'Oro] infligge danni pari al 35% dei PS massimi alla scadenza. Lv 3: Danni a scadenza portati al 50% dei PS massimi.</t>
  </si>
  <si>
    <t>Freccia Silver Cloth [Tremy - Esclusivo]</t>
  </si>
  <si>
    <t>Gli attacchi di Tremy non possono essere schivati e aumenta la precisione di tutti gli alleati di 50 punti.</t>
  </si>
  <si>
    <t>Precisione del party aumentata di 100 punti.</t>
  </si>
  <si>
    <t>Lv 1: Aria congelante zero assoluto su max 3 nemici frontali (265% ATT) e [congelamento] per 3s (impedisce azioni e guadagno cosmo). Lv 2: DAN 295% (+30% contro bersagli già congelati). Lv 3: DAN 325%. Inizio: 1.367s | Fine: 2.60s | Cosmos DANNO: 520</t>
  </si>
  <si>
    <t>Se Phantom Arrow o Freccia d'Oro uccidono il bersaglio, Tremy può riutilizzare Marchio del Bersaglio.</t>
  </si>
  <si>
    <t>Lv 1: DAN 200% ATT a 2 nemici frontali e prolunga gli effetti di congelamento e rallentamento del 30% per i successivi 6s. Lv 2: DAN 260%. Lv 3: +30% DAN contro bersagli congelati. Lv 4: Durata estesa a 8s e prolungamento al 40%. Inizio: 0.833s | Fine: 2.10s | Ritardo: 5.00s | Ricarica: 12.00s | Cosmos ATT: 798 | Cosmos DANNO: 420</t>
  </si>
  <si>
    <t>Marchio del Bersaglio punta prioritariamente i Supporti e può scagliare una Freccia d'Oro aggiuntiva.</t>
  </si>
  <si>
    <t>Freezing Coffin (Ciclo)</t>
  </si>
  <si>
    <t>Bonus Salute: 9% | Bonus ATT: 24% | Bonus Difesa: 3% | Precisione: 90</t>
  </si>
  <si>
    <t>Lv 1: Intrappola il nemico con più attacco in una [Freezing Coffin] per 6s (se Camus viene sconfitto, rilascia il bersaglio infliggendogli danni da aria congelante). Lv 2: Durata a 7s. Lv 3: DAN 285%. Inizio: 0.667s | Fine: 1.67s | Ritardo: 8.00s | Ricarica: 15.00s | Cosmos ATT: 1260 | Cosmos DANNO: 420</t>
  </si>
  <si>
    <t>Aria Gelida (Apertura)</t>
  </si>
  <si>
    <t>Lv 1: Congela 2 nemici casuali per 2.50s all'inizio della battaglia. Lv 2: Durata a 3s. Lv 3: Congela 3 nemici casuali per 3.50s. Inizio: 0.667s | Fine: 1.67s | Ordine d'azione: 84</t>
  </si>
  <si>
    <t>Preda Catturata può impedire totalmente al bersaglio di ottenere cosmo.</t>
  </si>
  <si>
    <t>Gli attacchi normali di Tremy colpiscono contemporaneamente 2 nemici nella fila anteriore.</t>
  </si>
  <si>
    <t>Acquario Gold Cloth [Camus - Esclusivo]</t>
  </si>
  <si>
    <t>Bonus Salute: 18.60% | Schivata: 96.0</t>
  </si>
  <si>
    <t>Bonus Attacco: 7.50% | Critico: 96.0 | Bonus Difesa: 17.40%</t>
  </si>
  <si>
    <t>Bonus Difesa: 26.40% | Precisione: 108.0 | Velocità Attacco: 5.40%</t>
  </si>
  <si>
    <t>+40% di probabilità di colpo critico contro i personaggi congelati.</t>
  </si>
  <si>
    <t>Colpi critici garantiti al 100% contro i bersagli congelati.</t>
  </si>
  <si>
    <t>La durata dell'abilità Aria Gelida aumenta di 4 secondi.</t>
  </si>
  <si>
    <t>Aria Gelida colpisce tutti i nemici in campo.</t>
  </si>
  <si>
    <t>Bonus Salute: 12% | Bonus ATT: 21% | Bonus Difesa: 12% | Precisione: 90</t>
  </si>
  <si>
    <t>Gli attacchi normali hanno il 60% di probabilità di congelare il bersaglio per 0.5s.</t>
  </si>
  <si>
    <t>Gli attacchi normali congelano sempre il bersaglio per 0.5s.</t>
  </si>
  <si>
    <t>Bonus Salute: 12.00% | Precisione: 108.0 | Tenacia: 72.0</t>
  </si>
  <si>
    <t>Bonus Attacco: 7.50% | Critico: 96.0 | Bonus Difesa: 17.10%</t>
  </si>
  <si>
    <t>Bonus Difesa: 26.40% | Velocità Attacco: 7.50% | Bonus Attacco: 3.30%</t>
  </si>
  <si>
    <t>SCHEDA PERSONAGGIO: Dohko (Bilancia)</t>
  </si>
  <si>
    <t>Dohko (Bilancia)</t>
  </si>
  <si>
    <t>583.590 / 652.793</t>
  </si>
  <si>
    <t>35.732 / 55.477</t>
  </si>
  <si>
    <t>10.311 / 11384</t>
  </si>
  <si>
    <t>1160 / 1160</t>
  </si>
  <si>
    <t>197 / 197</t>
  </si>
  <si>
    <t>Lv 1: Tecnica Rozan sulla fila posteriore nemica (220% ATT) e [Atterramento] per 3s (interruzione forzata). Lv 2: DAN 250% ATT. Lv 3: Durata atterramento a 4s. Inizio: 2.340s | Fine: 2.67s | Cosmos DANNO: 520</t>
  </si>
  <si>
    <t>Scudo d'Oro (Ciclo)</t>
  </si>
  <si>
    <t>Lv 1: Entra in Posizione Difensiva (+60% DIF, immune a controlli e interruzioni) e potenzia tutti gli alleati (+15% ATT, vel. ATT, critico e danno critico per 6s). Lv 2: DIF +80% e buff alleati al 20%. Lv 3: DIF +100% e buff alleati al 25%. Lv 4: Raddoppia il guadagno di cosmo quando viene attaccato. Inizio: 0.001s | Fine: 6.00s | Ritardo: 2.90s | Ricarica: 10.00s | Cosmos ATT: 2130</t>
  </si>
  <si>
    <t>Ringiovanimento (Innesco)</t>
  </si>
  <si>
    <t>Lv 1: Rigenera il 6% dei PS mancanti ogni 2s. Sotto il 30% di PS recupera immediatamente il 30% della salute massima (1 volta per battaglia). Lv 2: Rigenera anche il 5% dei PS max al secondo per 5s dopo l'attivazione. Lv 3: Applica la cura anche all'alleato con la salute più bassa.</t>
  </si>
  <si>
    <t>Benedizione Divina (Passivo)</t>
  </si>
  <si>
    <t>Lv 1: I danni singoli non superiori all'8% dei PS max vengono ridotti del 40%. Lv 2: Soglia al 9% dei PS max e riduzione al 45%. Lv 3: Soglia al 10% dei PS max e riduzione al 50%.</t>
  </si>
  <si>
    <t>Bilancia Gold Cloth [Dohko - Esclusivo]</t>
  </si>
  <si>
    <t>Scudo d'Oro fornisce a ciascun membro due buff casuali.</t>
  </si>
  <si>
    <t>All'inizio sceglie un alleato della prima fila e gli conferisce la rigenerazione continua dei PS di Ringiovanimento.</t>
  </si>
  <si>
    <t>Scudo d'Oro non richiede il mantenimento della difesa e fornisce direttamente tutti e 4 i tipi di buff a tutta la squadra.</t>
  </si>
  <si>
    <t>Raddoppia il recupero continuo di Ringiovanimento e permette di attivarlo 2 volte a battaglia.</t>
  </si>
  <si>
    <t>SCHEDA PERSONAGGIO: Argor (Perseo)</t>
  </si>
  <si>
    <t>Bonus Salute: 30% | Bonus Difesa: 30% | Critico: 90 | Tenacia: 90</t>
  </si>
  <si>
    <t>All'inizio della battaglia aumenta la salute massima del 500% dell'attacco.</t>
  </si>
  <si>
    <t>Aumenta la salute massima del 1000% dell'attacco e infligge danni extra pari al 2% della salute massima a ogni attacco.</t>
  </si>
  <si>
    <t>Bonus Salute: 18.60% | Effetto Cura Ricevuta: 6.00%</t>
  </si>
  <si>
    <t>SCHEDA PERSONAGGIO: Sirius (Cane Maggiore)</t>
  </si>
  <si>
    <t>Sirius (Cane Maggiore)</t>
  </si>
  <si>
    <t>Cane Maggiore</t>
  </si>
  <si>
    <t>SCHEDA PERSONAGGIO: Astérion (Cani da caccia)</t>
  </si>
  <si>
    <t>Argor (Perseo)</t>
  </si>
  <si>
    <t>386.165 / 652.793</t>
  </si>
  <si>
    <t>Perseo</t>
  </si>
  <si>
    <t>46.186 / 55.477</t>
  </si>
  <si>
    <t>9.270 / 11384</t>
  </si>
  <si>
    <t>Astérion (Cani da caccia)</t>
  </si>
  <si>
    <t>599.922 / 652.793</t>
  </si>
  <si>
    <t>Cani da caccia</t>
  </si>
  <si>
    <t>Great Mountain Smasher (Arcano)</t>
  </si>
  <si>
    <t>Lv 1: DAN 225% ATT e stordimento (3s + 1% per ogni 1% di cosmo del bersaglio) sul nemico con più salute. Lv 2: DAN 255% / stordimento incrementato del 1.3% per 1% cosmo. Lv 3: DAN 285% / incremento 1.6%. Inizio: 0.900s | Fine: 1.83s | Cosmos DANNO: 300</t>
  </si>
  <si>
    <t>36.838 / 55.477</t>
  </si>
  <si>
    <t>Charge Up (Ciclo)</t>
  </si>
  <si>
    <t>Lv 1: Scudo del 330% ATT per 6s; finché è attivo, aumenta ATT e DIF del 20%. Lv 2: Scudo al 375%. Lv 3: Alla distruzione dello scudo, stordisce 3 nemici per 2.5s. Lv 4: Scudo al 405% / stordimento a 3.5s. Inizio: 0.001s | Fine: 1.80s | Ritardo: 2.30s | Ricarica: 10.00s | Cosmos ATT: 1107</t>
  </si>
  <si>
    <t>8.213 / 11384</t>
  </si>
  <si>
    <t>First Strike (Apertura)</t>
  </si>
  <si>
    <t>Lv 1: All'inizio della battaglia aumenta la vel. ATT di tutti gli alleati del 25% per 8s. Lv 2: Ripristina anche 800 cosmo. Lv 3: Ripristina 1200 cosmo. Inizio: 0.767s | Fine: 1.63s | Ordine d'azione: 91</t>
  </si>
  <si>
    <t>Canis Major Perception (Innesco)</t>
  </si>
  <si>
    <t>Lv 1: Quando un alleato subisce controllo, lo disperde e lancia Charge Up (intervallo 10s, priorità a sé stesso). Lv 2: Intervallo a 9s. Lv 3: Intervallo a 8s.</t>
  </si>
  <si>
    <t>437.715 / 652.793</t>
  </si>
  <si>
    <t>Cane Maggiore Silver Cloth [Sirius - Esclusivo]</t>
  </si>
  <si>
    <t>Las Argol Gorgonio (Arcano)</t>
  </si>
  <si>
    <t>Lv 1: Pietrifica 2 nemici per 3s (335% ATT). I nemici pietrificati non possono agire né schivare. Lv 2: DAN 365% ATT. Lv 3: DAN 395% ATT. Inizio: 1.900s | Fine: 2.77s | Cosmos DANNO: 636</t>
  </si>
  <si>
    <t>44.318 / 55.477</t>
  </si>
  <si>
    <t>Gorgon's Phantom Snake (Ciclo)</t>
  </si>
  <si>
    <t>Lv 1: Disperde 1 buff casuale a ogni nemico e ha il 40% di probabilità di pietrificarli per 3s. Lv 2: Probabilità di pietrificazione +50%. Lv 3: Pietrificazione sicura sui nemici con meno del 40% di salute. Lv 4: I debuff dispersi salgono a 2. Inizio: 0.800s | Fine: 1.30s | Ritardo: 6.10s | Ricarica: 14.00s | Cosmos ATT: 2010 | Cosmos DANNO: 268</t>
  </si>
  <si>
    <t>8.944 / 11384</t>
  </si>
  <si>
    <t>Medusa Curse (Innesco)</t>
  </si>
  <si>
    <t>Great Mountain Smasher infligge DAN extra in base al cosmo nemico (fino a +100%).</t>
  </si>
  <si>
    <t>Lv 1: Subendo danni, ha il 12% di probabilità di pietrificare l'attaccante per 2s (intervallo 3s). Lv 2: Se un nemico pietrificato muore, Argor recupera subito il 15% dei PS max. Lv 3: Probabilità di pietrificazione salita al 16%.</t>
  </si>
  <si>
    <t>Raising Shield (Passivo)</t>
  </si>
  <si>
    <t>DAN extra in base al cosmo nemico aumentato fino al +200%.</t>
  </si>
  <si>
    <t>Lv 1: Sotto il 40% di PS ottiene -20% DAN subiti ed è immune ai critici. Lv 2: Soglia al 45% / DAN subiti -25%. Lv 3: Soglia al 50% / DAN subiti -30%.</t>
  </si>
  <si>
    <t>Tutti gli scudi rilasciati da Sirius hanno durata prolungata del 100%.</t>
  </si>
  <si>
    <t>Tutti gli scudi ottenuti da Sirius hanno effetto aumentato del 50%.</t>
  </si>
  <si>
    <t>Million Ghost Attack (Arcano)</t>
  </si>
  <si>
    <t>Perseo Silver Cloth [Argor - Esclusivo]</t>
  </si>
  <si>
    <t>Lv 1: 6 attacchi casuali (160% ATT l'uno) che disperdono un buff del bersaglio. Lv 2: Ogni attacco applica [silenzio] per 1s. Lv 3: DAN aumentati al 200%. Inizio: 2.167s | Fine: 3.57s | Cosmos DANNO: 150</t>
  </si>
  <si>
    <t>Potenziamento Psicocinesi (Ciclo)</t>
  </si>
  <si>
    <t>Lv 1: Aumenta ATT e prob. crit di tutta la squadra del 15% per 6s. Lv 2: Aggiunge cura pari al 125% dell'ATT. Lv 3: Cura portata al 160% dell'ATT. Lv 4: Bonus ATT e prob. crit portati al 20%. Inizio: 0.500s | Fine: 1.80s | Ritardo: 4.50s | Ricarica: 12.00s | Cosmos ATT: 1650</t>
  </si>
  <si>
    <t>Las Argol Gorgonio colpisce anche i primi 3 nemici di fronte a sé.</t>
  </si>
  <si>
    <t>Satori no ho (Apertura)</t>
  </si>
  <si>
    <t>Lv 1: Riduce l'attacco dei nemici nella fila posteriore del 15% fintanto che Asterione è in campo. Lv 2: Riduzione ATT al 20%. Lv 3: Riduzione ATT al 25%. Inizio: 1.000s | Fine: 1.97s | Ordine d'azione: 1785</t>
  </si>
  <si>
    <t>Motivate Potential (Passivo)</t>
  </si>
  <si>
    <t>L'intervallo di attivazione di Canis Major Protection si riduce di 1 secondo.</t>
  </si>
  <si>
    <t>Durata della pietrificazione prolungata di 1 secondo.</t>
  </si>
  <si>
    <t>Lv 1: Velocità di recupero cosmo +20%. Lv 2: Immunità a riduzione e rallentamento cosmo. Lv 3: Velocità di recupero cosmo +30%.</t>
  </si>
  <si>
    <t>Intervallo ridotto di 2 secondi e l'abilità si attiva su due alleati contemporaneamente.</t>
  </si>
  <si>
    <t>Probabilità di pietrificazione di tutte le abilità aumentata del 5%.</t>
  </si>
  <si>
    <t>Bonus Salute: 12.00% | Schivata: 96.0 | Bonus Difesa: 15.90%</t>
  </si>
  <si>
    <t>Probabilità di pietrificazione aumentata del 15%.</t>
  </si>
  <si>
    <t>Bonus Attacco: 7.50% | Tenacia: 114.0 | Fermezza: 72.0</t>
  </si>
  <si>
    <t>Bonus Salute: 24% | Bonus ATT: 6% | Bonus Difesa: 24% | Schivata: 60</t>
  </si>
  <si>
    <t>Cani da Caccia Silver Cloth [Asterione - Esclusivo]</t>
  </si>
  <si>
    <t>Potenziamento Psicocinesi cura per un ulteriore 50% dell'ATT al secondo per 6s.</t>
  </si>
  <si>
    <t>Cura aggiuntiva portata al 75% dell'ATT al secondo.</t>
  </si>
  <si>
    <t>Potenziamento Psicocinesi porta ATT e prob. crit al 30%.</t>
  </si>
  <si>
    <t>Ottiene uno scudo pari al 250% dell'ATT per 4s all'attivazione di Raising Shield.</t>
  </si>
  <si>
    <t>Ricarica ridotta del 35% e immunità ad alleati a confusione, seduzione e silenzio durante il buff.</t>
  </si>
  <si>
    <t>Scudo aumentato al 600% dell'ATT per 6s all'attivazione di Raising Shield.</t>
  </si>
  <si>
    <t>Bonus Salute: 15% | Bonus ATT: 15% | Bonus Difesa: 15% | Critico: 60</t>
  </si>
  <si>
    <t>Bonus Salute: 12.00% | Effetto Cura Ricevuta: 6.00% | Bonus Difesa: 17.70%</t>
  </si>
  <si>
    <t>Million Ghost Attack fa recuperare a Asterione salute pari al 50% del danno inflitto.</t>
  </si>
  <si>
    <t>DAN di Million Ghost Attack a 30% extra e disperde tutti i buff del bersaglio a ogni colpo.</t>
  </si>
  <si>
    <t>SCHEDA PERSONAGGIO: Capella (Audige)</t>
  </si>
  <si>
    <t>Capella (Audige)</t>
  </si>
  <si>
    <t>Audige</t>
  </si>
  <si>
    <t>421.129 / 652.793</t>
  </si>
  <si>
    <t>47.571 / 55.477</t>
  </si>
  <si>
    <t>7.564 / 11384</t>
  </si>
  <si>
    <t>Saucer Kogeki (Arcano)</t>
  </si>
  <si>
    <t>Lv 1: Lancia un disco che rimbalza 6 volte su nemici casuali (140% ATT a colpo) con 50% di probabilità di [sanguinamento] (40% ATT al secondo e cure ricevute -50% per 3s). Lv 2: Probabilità di sanguinamento al 60% e durata a 4s. Lv 3: DAN 160% ATT e 1 rimbalzo extra. Inizio: 1.300s | Fine: 2.13s | Cosmos DANNO: 150</t>
  </si>
  <si>
    <t>SCHEDA PERSONAGGIO: Aldebaran (Toro)</t>
  </si>
  <si>
    <t>Phantom Saucer Kogeki (Ciclo)</t>
  </si>
  <si>
    <t>Lv 1: Lancia 3 dischi su 3 nemici (150% ATT, 60% probabilità di sanguinamento per 3s). Lv 2: Probabilità al 80%. Lv 3: DAN da sanguinamento al 50% ATT. Lv 4: DAN al 180% ATT. Inizio: 0.600s | Fine: 1.60s | Ritardo: 4.00s | Ricarica: 11.00s | Cosmos ATT: 1600 | Cosmos DANNO: 346</t>
  </si>
  <si>
    <t>Saucer Kogeki Combo (Passivo)</t>
  </si>
  <si>
    <t>Lv 1: L'attacco normale rimbalza 1 volta (DAN ridotto del 40%). Lv 2: Rimbalza 2 volte. Lv 3: Riduzione DAN del rimbalzo ridotta al 25%.</t>
  </si>
  <si>
    <t>Saucer Kogeki Shield (Innesco)</t>
  </si>
  <si>
    <t>Lv 1: Usando un'abilità ottiene uno scudo pari al 220% dell'ATT per 8s. Lv 2: Sotto scudo la vel. ATT aumenta del 25%. Lv 3: Sotto scudo l'attacco ignora il 25% della difesa.</t>
  </si>
  <si>
    <t>Aldebaran (Toro)</t>
  </si>
  <si>
    <t>SCHEDA PERSONAGGIO: Shura (Capricorno)</t>
  </si>
  <si>
    <t>Auriga Silver Cloth [Capella - Esclusivo]</t>
  </si>
  <si>
    <t>All'ingresso in campo, la durata dello status sanguinamento sui nemici aumenta del 75%.</t>
  </si>
  <si>
    <t>Durata del sanguinamento prolungata del 150%.</t>
  </si>
  <si>
    <t>Shura (Capricorno)</t>
  </si>
  <si>
    <t>Saucer Kogeki Shield assorbe danni pari al 350% dell'ATT.</t>
  </si>
  <si>
    <t>Vel. ATT aumentata del 50% sotto scudo e ignorata il 50% dell'armatura nemica.</t>
  </si>
  <si>
    <t>Bonus Salute: 9% | Bonus ATT: 21% | Bonus Difesa: 9% | Critico: 60</t>
  </si>
  <si>
    <t>594.953 / 652.793</t>
  </si>
  <si>
    <t>37.598 / 55.477</t>
  </si>
  <si>
    <t>9.093 / 11384</t>
  </si>
  <si>
    <t>49.375 / 55.477</t>
  </si>
  <si>
    <t>Saucer Kogeki distrugge tutti gli scudi nemici.</t>
  </si>
  <si>
    <t>8.121 / 11384</t>
  </si>
  <si>
    <t>Ogni utilizzo di Saucer Kogeki ha il 30% di probabilità di essere rilanciato senza costi extra.</t>
  </si>
  <si>
    <t>1067 / 1160</t>
  </si>
  <si>
    <t>Lv 1: Attacca i nemici della fila anteriore (270% ATT) e li [atterra] per 2s, recuperando il 10% dei PS max per ogni nemico atterrato. Lv 2: DAN 320% ATT. Lv 3: Atterramento di 3s. Inizio: 1.750s | Fine: 3.13s | Cosmos DANNO: 520</t>
  </si>
  <si>
    <t>Iaito Defence (Ciclo)</t>
  </si>
  <si>
    <t>181 / 197</t>
  </si>
  <si>
    <t>Bonus Salute: 12.00% | Precisione: 108.0 | Velocità Attacco: 4.80%</t>
  </si>
  <si>
    <t>Lv 1: Entra in stato [Iaito Defence] per 5s (costringe i nemici ad attaccarlo con gli attacchi normali e riduce i danni subiti del 50%, immune a interruzioni). Lv 2: Cosmo ricevuto aumentato del 100%. Lv 3: Riduzione DAN al 60% e immunità ai controlli. Lv 4: Cosmo ricevuto aumentato del 150%. Inizio: 0.001s | Fine: 5.50s | Ritardo: 5.30s | Ricarica: 13.00s | Cosmos ATT: 1830</t>
  </si>
  <si>
    <t>Horn Counter (Innesco)</t>
  </si>
  <si>
    <t>Lv 1: Subendo un attacco normale, ha il 30% di probabilità di lanciare Horn Counter su 2 nemici (150% ATT e stordimento per 2s, intervallo 2s). Lv 2: DAN 180% ATT. Lv 3: Probabilità al 35%.</t>
  </si>
  <si>
    <t>SCHEDA PERSONAGGIO: Baian (Cavalluccio Marino)</t>
  </si>
  <si>
    <t>Toro Indomabile (Apertura)</t>
  </si>
  <si>
    <t>Lv 1: Prende di mira il nemico con i PS più bassi per 15s; ogni danno ricevuto da Aldebaran viene riflesso sul bersaglio al 50%. Lv 2: Danno riflesso al 75%. Lv 3: Durata aumentata a 25s. Inizio: 0.650s | Fine: 1.90s | Ordine d'azione: 90</t>
  </si>
  <si>
    <t>Bonus Difesa: 26.40% | Velocità Attacco: 7.50% | Bonus Salute: 6.60%</t>
  </si>
  <si>
    <t>Lv 1: Colpisce max 3 nemici frontali (190% ATT) e applica [sanguinamento] (35% ATT al secondo e cure ricevute -50% per 4s). Lv 2: DAN 210% ATT. Lv 3: Sanguisuga al 50% ATT. Inizio: 1.750s | Fine: 2.80s | Cosmos DANNO: 520</t>
  </si>
  <si>
    <t>Excalibur - Sfodero (Ciclo)</t>
  </si>
  <si>
    <t>Lv 1: Fendente su due nemici frontali (175% ATT) e riduce la difesa del 30% per 6s. Lv 2: DAN 195% ATT. Lv 3: Infliggi DAN extra pari al 15% della salute del bersaglio. Lv 4: Riduzione difesa al 50%. Inizio: 0.700s | Fine: 1.45s | Ritardo: 2.00s | Ricarica: 10.00s | Cosmos ATT: 1200 | Cosmos DANNO: 424</t>
  </si>
  <si>
    <t>Volontà di Excalibur (Innesco)</t>
  </si>
  <si>
    <t>Toro Gold Cloth [Aldebaran Originale - Esclusivo]</t>
  </si>
  <si>
    <t>Lv 1: Ogni danno inflitto dà stack di [Volontà di Excalibur] (+1.5% ATT e vel. ATT, max 15 stack); al max recupera 5000 cosmo in 5s e ottiene +20% sanguisuga. Lv 2: Stack aumentano ATT e vel. ATT del 2%. Lv 3: Sanguisuga al 25% al max stack.</t>
  </si>
  <si>
    <t>Excalibur Penetration (Passivo)</t>
  </si>
  <si>
    <t>Lv 1: 30% di probabilità di ignorare la difesa del bersaglio. Lv 2: Danni aumentati del 20% contro Combattenti e Difensori. Lv 3: Probabilità portata al 40%.</t>
  </si>
  <si>
    <t>Aumenta la salute massima del 15% all'inizio della battaglia.</t>
  </si>
  <si>
    <t>Aumento della salute massima portato al 30%.</t>
  </si>
  <si>
    <t>Baian (Cavalluccio Marino)</t>
  </si>
  <si>
    <t>Capricorno Gold Cloth [Shura - Esclusivo]</t>
  </si>
  <si>
    <t>Durante la prima attivazione di Iaido non può morire e potenzia del 100% il recupero del successivo Great Horn.</t>
  </si>
  <si>
    <t>Nelle prime due attivazioni di Iaido non può morire e potenzia del 100% il recupero del successivo Great Horn.</t>
  </si>
  <si>
    <t>Cavalluccio Marino</t>
  </si>
  <si>
    <t>Bonus Salute: 24% | Bonus ATT: 9% | Bonus Difesa: 21% | Tenacia: 120</t>
  </si>
  <si>
    <t>Con PS superiori al 60%, Excalibur Penetration si attiva sicuramente.</t>
  </si>
  <si>
    <t>Contro i bersagli con scudo, infligge il 50% di danni extra ignorando lo scudo.</t>
  </si>
  <si>
    <t>Gli attacchi normali riducono permanentemente l'armatura del bersaglio dell'8% (non disperdibile).</t>
  </si>
  <si>
    <t>Gli attacchi normali colpiscono contemporaneamente i due bersagli della prima fila.</t>
  </si>
  <si>
    <t>La probabilità di lancio di Horn Counter sale al 45%.</t>
  </si>
  <si>
    <t>Bonus Salute: 18% | Bonus ATT: 18% | Bonus Difesa: 9% | Critico: 60</t>
  </si>
  <si>
    <t>Probabilità di Horn Counter al 60% e danni aumentati al 30%.</t>
  </si>
  <si>
    <t>2023-02-01</t>
  </si>
  <si>
    <t>589.272 / 652.793</t>
  </si>
  <si>
    <t>La tecnica segreta può interrompere gli attacchi e le abilità dei nemici.</t>
  </si>
  <si>
    <t>La tecnica segreta ripristina salute pari al danno inflitto; le cure in eccesso diventano uno scudo di 5s.</t>
  </si>
  <si>
    <t>Bonus Salute: 12.00% | Schivata: 96.0 | Bonus Attacco: 3.30%</t>
  </si>
  <si>
    <t>1131 / 1160</t>
  </si>
  <si>
    <t>Bonus Attacco: 7.50% | Critico: 96.0 | Effetto Cura Ricevuta: 3.60%</t>
  </si>
  <si>
    <t>192 / 197</t>
  </si>
  <si>
    <t>Bonus Difesa: 43.50% | Precisione: 108.0</t>
  </si>
  <si>
    <t>Rising Billows (Arcano)</t>
  </si>
  <si>
    <t>Lv 1: Onde giganti su 2 bersagli della fila anteriore (275% ATT) che li sbattono al suolo, riducendo la vel. ATT del 35% per 6s (impedisce di ottenere buff di vel. ATT). Lv 2: DAN 305% ATT. Lv 3: DAN 335% ATT. Inizio: 1.434s | Fine: 3.10s | Cosmos DANNO: 636</t>
  </si>
  <si>
    <t>Ripple Defense (Ciclo)</t>
  </si>
  <si>
    <t>Lv 1: Barriera d'aria che para 4 istanze di danno (max 6s); immune alle interruzioni forzate. Lv 2: Gli attacchi parati riducono la vel. ATT dell'attaccante del 50% per 4s. Lv 3: Parate portate a 6. Lv 4: Riduzione vel. ATT al 60% e durata a 8s. Inizio: 0.500s | Fine: 2.20s | Ritardo: 5.00s | Ricarica: 12.50s | Cosmos ATT: 1138</t>
  </si>
  <si>
    <t>God’s Breath (Ciclo)</t>
  </si>
  <si>
    <t>Lv 1: Colpo d'aria che lancia in aria un nemico frontale (180% ATT + 10% dei PS totali del bersaglio). Aumenta i danni del 2% per ogni 5% di rallentamento della vel. ATT del bersaglio. Lv 2: Danni al 12% dei PS totali. Lv 3: Danni al 16% dei PS totali. Inizio: 0.001s | Fine: 2.15s | Ritardo: 6.50s | Ricarica: 14.00s | Cosmos ATT: 1333 | Cosmos DANNO: 600</t>
  </si>
  <si>
    <t>Sea Horse Guard (Innesco)</t>
  </si>
  <si>
    <t>Lv 1: Con PS &gt;75% assume la postura di Sea Horse (+40% DIF). Lv 2: DIF +50%. Lv 3: DIF +60% e immunità agli effetti di controllo.</t>
  </si>
  <si>
    <t>Sea Horse Scale [Baian - Esclusivo]</t>
  </si>
  <si>
    <t>I personaggi influenzati da Sea Horse Guard guariscono dell'1.5% dei PS max al secondo.</t>
  </si>
  <si>
    <t>Cura aumentata al 3% dei PS max al secondo.</t>
  </si>
  <si>
    <t>Ripple Defense aumenta le parate massime a 8.</t>
  </si>
  <si>
    <t>Ripple Defense si applica contemporaneamente anche a un altro compagno della prima fila.</t>
  </si>
  <si>
    <t>Bonus Salute: 18% | Bonus ATT: 12% | Bonus Difesa: 18% | Tenacia: 120</t>
  </si>
  <si>
    <t>Quando i PS scendono sotto il 50% per la prima volta, ottiene immediatamente l'effetto di Ripple Defense.</t>
  </si>
  <si>
    <t>Il bersaglio di Rising Billows diventa l'intero schieramento nemico.</t>
  </si>
  <si>
    <t>Bonus Salute: 12.00% | Effetto Cura Ricevuta: 6.00% | Tenacia: 63.0</t>
  </si>
  <si>
    <t>Bonus Difesa: 26.40% | Velocità Attacco: 7.50% | Bonus Salute: 6.90%</t>
  </si>
  <si>
    <t>SCHEDA PERSONAGGIO: Seiya (Sagittario)</t>
  </si>
  <si>
    <t>Seiya (Sagittario)</t>
  </si>
  <si>
    <t>SCHEDA PERSONAGGIO: June (Camaleonte)</t>
  </si>
  <si>
    <t>2022-10-12</t>
  </si>
  <si>
    <t>SCHEDA PERSONAGGIO: Shun (Vergine)</t>
  </si>
  <si>
    <t>51.786 / 55.477</t>
  </si>
  <si>
    <t>7.444 / 11384</t>
  </si>
  <si>
    <t>1024 / 1160</t>
  </si>
  <si>
    <t>June (Camaleonte)</t>
  </si>
  <si>
    <t>Camaleonte</t>
  </si>
  <si>
    <t>Lv 1: Tende l'arco d'oro per 4s e scocca una freccia contro tutti i nemici (350% ATT). Interrotto, trattiene 5000 cosmo (intervallo 4s). Infligge il 25% di danni extra agli Dei. Lv 2: DAN 400% ATT. Lv 3: DAN 450% ATT. Inizio: 5.000s | Fine: 5.70s | Cosmos DANNO: 402</t>
  </si>
  <si>
    <t>Pegasus Ryuseiken (Ciclo)</t>
  </si>
  <si>
    <t>Lv 1: Scaglia Pegasus Ryuseiken contro un nemico frontale (270% ATT, colpo certo se ripetuto sullo stesso bersaglio e +50% prob. crit). Lv 2: DAN 300% ATT. Lv 3: Recupera salute pari al 15% dei PS max dopo l'uso. Lv 4: DAN 320% ATT. Inizio: 1.400s | Fine: 1.80s | Ritardo: 4.50s | Ricarica: 11.00s | Cosmos ATT: 970 | Cosmos DANNO: 230</t>
  </si>
  <si>
    <t>Pegasus Charge (Apertura)</t>
  </si>
  <si>
    <t>Lv 1: Salta e scaglia Pegasus Charge contro tutti i nemici (205% ATT) atterrandoli per 2s (immune a controlli e interruzioni). Lv 2: Riduce la DIF dei bersagli atterrati del 40% per 5s. Lv 3: Durata atterramento a 2.5s. Inizio: 0.766s | Fine: 0.77s | Ordine d'azione: 83</t>
  </si>
  <si>
    <t>Sagittario della Speranza (Passivo)</t>
  </si>
  <si>
    <t>Shun (Vergine)</t>
  </si>
  <si>
    <t>Lv 1: Ogni buff aumenta l'ATT del 6% (max 5 stack). Se in squadra con Shiryu Bilancia, Ikki Leone, Hyoga Acquario e Shun Vergine, il segno diventa di Luce. Lv 2: Ogni buff aumenta il recupero cosmo dell'8% (max 5 stack). Lv 3: Ogni buff aumenta l'anti-armatura del 4% (max 5 stack).</t>
  </si>
  <si>
    <t>2023-01-04</t>
  </si>
  <si>
    <t>462.327 / 652.793</t>
  </si>
  <si>
    <t>44.879 / 55.477</t>
  </si>
  <si>
    <t>Sagittario Gold Cloth [Seiya - Esclusivo]</t>
  </si>
  <si>
    <t>9.207 / 11384</t>
  </si>
  <si>
    <t>Pegasus Charge fornisce uno scudo pari al 250% dell'ATT per 6s.</t>
  </si>
  <si>
    <t>Scudo aumentato al 500% dell'ATT per 6s.</t>
  </si>
  <si>
    <t>Il primo utilizzo di Freccia d'Oro in battaglia non richiede la carica energetica.</t>
  </si>
  <si>
    <t>I primi 3 utilizzi di Freccia d'Oro in battaglia non richiedono la carica energetica.</t>
  </si>
  <si>
    <t>Guardian Prayer (Arcano)</t>
  </si>
  <si>
    <t>Lv 1: Protegge 2 alleati con meno salute con uno scudo (3s). Ignorano i danni inferiori al 20% della salute max; i danni superiori sono ridotti del 50% (priorità alla prima fila). Lv 2: Durata a 4s. Lv 3: Durata a 5s. Inizio: 0.500s | Fine: 3.50s</t>
  </si>
  <si>
    <t>Bonus Salute: 21% | Bonus ATT: 21% | Precisione: 90 | Critico: 90</t>
  </si>
  <si>
    <t>Risolleva il Morale (Ciclo)</t>
  </si>
  <si>
    <t>Lv 1: Incoraggia la prima fila alleata dando 1000 cosmo e rigenerando salute pari al 260% dell'ATT. Lv 2: Cosmo dato a 1200. Lv 3: Aumenta l'ATT della prima fila per 8s. Lv 4: Aumento ATT al 20%. Inizio: 0.400s | Fine: 1.35s | Ritardo: 4.00s | Ricarica: 12.50s | Cosmos ATT: 1073</t>
  </si>
  <si>
    <t>Tie of Whip (Ciclo)</t>
  </si>
  <si>
    <t>2022-08-24</t>
  </si>
  <si>
    <t>Lv 1: Immobilizza un nemico della fila posteriore con la frusta (80% ATT al segundo per max 10s); June e il bersaglio non possono muoversi. Lv 2: Riduce la DIF del bersaglio del 35%. Lv 3: Riduzione DIF al 50%. Inizio: 0.633s | Fine: 0.70s | Ritardo: 5.70s | Ricarica: 14.00s | Cosmos ATT: 1281</t>
  </si>
  <si>
    <t>Potere di Guarigione (Innesco)</t>
  </si>
  <si>
    <t>Lv 1: Quando un alleato scende al 40% di PS, lo cura rigenerando il 30% della salute max (intervallo 3s, max 5 volte a battaglia). Lv 2: Cura al 40% dei PS max. Lv 3: Intervallo ridotto a 2s.</t>
  </si>
  <si>
    <t>All'inizio della battaglia recupera 400 cosmo per 6s (effetto non eliminabile).</t>
  </si>
  <si>
    <t>Recupera 600 cosmo/s per i primi 6s e aumenta permanentemente l'ATT del 2.5% ogni secondo.</t>
  </si>
  <si>
    <t>Camaleonte Cloth [June - Esclusivo]</t>
  </si>
  <si>
    <t>Bonus Attacco: 7.50% | Critico: 96.0 | Precisione: 63.0</t>
  </si>
  <si>
    <t>Durante Tie of Whip, i danni subiti da June sono ridotti del 40%.</t>
  </si>
  <si>
    <t>Durante Tie of Whip, June recupera salute pari al danno del vincolo inflitto.</t>
  </si>
  <si>
    <t>Quando si attiva Potere di guarigione, l'alleato curato recupera altri 1000 punti di Cosmo.</t>
  </si>
  <si>
    <t>Recupero cosmo aggiuntivo portato a 3000 punti.</t>
  </si>
  <si>
    <t>Bonus Salute: 18% | Bonus ATT: 15% | Bonus Difesa: 12% | Schivata: 90</t>
  </si>
  <si>
    <t>Nebula Stream (Arcano)</t>
  </si>
  <si>
    <t>Lv 1: Sparge Nebula Stream (160% ATT immediato a tutti i nemici); per 12s potenzia gli alleati (+10% ATT e vel. ATT) e indebolisce i nemici (-10% DIF e precisione). Non cumulabile. Terreno speciale. Lv 2: Bonus alleati e malus nemici al 15%. Lv 3: DAN immediato al 190% ATT. Inizio: 1.200s | Fine: 3.04s | Cosmos DANNO: 402</t>
  </si>
  <si>
    <t>Nebula Storm (Ciclo)</t>
  </si>
  <si>
    <t>Lanciare un'abilità fornisce 200 punti cosmo al secondo per 6s.</t>
  </si>
  <si>
    <t>L'effetto di Risolleva il Morale si estende all'intera squadra.</t>
  </si>
  <si>
    <t>Bonus Salute: 12.00% | Precisione: 108.0 | Effetto Cura: 3.60%</t>
  </si>
  <si>
    <t>Lv 1: Rilascia Nebula Storm (110% ATT a tutti i nemici + 10% dei danni recenti; +25% di potenza se i bersagli sono nel Nebula Stream). Passiva: i nemici che usano abilità nel Nebula Stream subiscono l'attacco con il 30% di probabilità di interruzione. Lv 2: DAN al 120% ATT. Lv 3: Probabilità di interruzione al 40%. Lv 4: DAN al 130% ATT.</t>
  </si>
  <si>
    <t>Bonus Attacco: 7.50% | Critico: 96.0 | Bonus Difesa: 3.30%</t>
  </si>
  <si>
    <t>Nebula Protection (Ciclo)</t>
  </si>
  <si>
    <t>Lv 1: Protegge i 2 alleati con meno salute con uno scudo (180% ATT per 6s). Nel Nebula Stream lo scudo è +25% e i nemici che lo attaccano hanno il 35% di probabilità di subire danni da Nebula Storm (intervallo 2s). Lv 2: Scudo al 200% ATT. Lv 3: Scudo al 220% ATT. Inizio: 0.001s | Fine: 1.35s | Ritardo: 3.80s | Ricarica: 11.80s | Cosmos ATT: 1014</t>
  </si>
  <si>
    <t>Lv 1: Dopo un'abilità o Nebula Stream, il primo attacco normale diventa Thunder Wave (colpisce 2 nemici, +80% ATT e shock elettrico per 4s con aumento danni subiti del 30% e rigidità, intervallo 6s). Lv 2: Intervallo a 5s. Lv 3: Intervallo a 4s.</t>
  </si>
  <si>
    <t>Vergine Gold Cloth [Shun Originale - Esclusivo]</t>
  </si>
  <si>
    <t>Thunder Wave aumenta il numero di bersagli di 1.</t>
  </si>
  <si>
    <t>Durante Nebula Stream, gli attacchi normali infliggono danni aggiuntivi e applicano lo shock elettrico di Thunder Wave.</t>
  </si>
  <si>
    <t>Dopo l'attivazione della Nebulosa di Andromeda, ogni attacco diretto a Shun viene contrattaccato (max 1 volta al secondo).</t>
  </si>
  <si>
    <t>All'ingresso in campo, attiva istantaneamente la Nebulosa di Andromeda per 7 secondi.</t>
  </si>
  <si>
    <t>Bonus Salute: 9% | Bonus ATT: 24% | Bonus Difesa: 3% | Sanguisuga: 60</t>
  </si>
  <si>
    <t>La durata di Nebula Stream aumenta a 14 secondi.</t>
  </si>
  <si>
    <t>Gli effetti dei buff e debuff di Nebula Stream aumentano del 5%.</t>
  </si>
  <si>
    <t>Bonus Salute: 12.00% | Precisione: 108.0 | Sanguisuga: 24.0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</si>
</sst>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Calibri"/>
    </font>
    <font>
      <b/>
      <color theme="1"/>
      <name val="Calibri"/>
      <scheme val="minor"/>
    </font>
    <font/>
    <font>
      <color theme="1"/>
      <name val="Calibri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0.0"/>
      <color rgb="FF333333"/>
      <name val="Calibri"/>
    </font>
    <font>
      <sz val="10.0"/>
      <color rgb="FF333333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272C"/>
        <bgColor rgb="FF1E272C"/>
      </patternFill>
    </fill>
    <fill>
      <patternFill patternType="solid">
        <fgColor rgb="FF353B48"/>
        <bgColor rgb="FF353B48"/>
      </patternFill>
    </fill>
    <fill>
      <patternFill patternType="solid">
        <fgColor rgb="FFF1F2F6"/>
        <bgColor rgb="FFF1F2F6"/>
      </patternFill>
    </fill>
  </fills>
  <borders count="7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</border>
    <border>
      <left style="thin">
        <color rgb="FFCED6E0"/>
      </left>
      <top style="thin">
        <color rgb="FFCED6E0"/>
      </top>
      <bottom style="thin">
        <color rgb="FFCED6E0"/>
      </bottom>
    </border>
    <border>
      <right style="thin">
        <color rgb="FFCED6E0"/>
      </right>
      <top style="thin">
        <color rgb="FFCED6E0"/>
      </top>
      <bottom style="thin">
        <color rgb="FFCED6E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readingOrder="0"/>
    </xf>
    <xf borderId="2" fillId="0" fontId="3" numFmtId="0" xfId="0" applyBorder="1" applyFont="1"/>
    <xf borderId="0" fillId="0" fontId="4" numFmtId="0" xfId="0" applyAlignment="1" applyFont="1">
      <alignment readingOrder="0"/>
    </xf>
    <xf borderId="1" fillId="3" fontId="5" numFmtId="0" xfId="0" applyBorder="1" applyFill="1" applyFont="1"/>
    <xf borderId="3" fillId="3" fontId="6" numFmtId="0" xfId="0" applyBorder="1" applyFill="1" applyFont="1"/>
    <xf borderId="4" fillId="0" fontId="7" numFmtId="0" xfId="0" applyBorder="1" applyFont="1"/>
    <xf borderId="4" fillId="0" fontId="8" numFmtId="0" xfId="0" applyBorder="1" applyFont="1"/>
    <xf borderId="4" fillId="4" fontId="7" numFmtId="0" xfId="0" applyBorder="1" applyFill="1" applyFont="1"/>
    <xf borderId="4" fillId="4" fontId="8" numFmtId="0" xfId="0" applyBorder="1" applyFill="1" applyFont="1"/>
    <xf borderId="4" fillId="0" fontId="9" numFmtId="0" xfId="0" applyBorder="1" applyFont="1"/>
    <xf borderId="4" fillId="4" fontId="10" numFmtId="0" xfId="0" applyBorder="1" applyFill="1" applyFont="1"/>
    <xf borderId="5" fillId="3" fontId="5" numFmtId="0" xfId="0" applyAlignment="1" applyBorder="1" applyFill="1" applyFont="1">
      <alignment horizontal="left" vertical="center"/>
    </xf>
    <xf borderId="6" fillId="0" fontId="3" numFmtId="0" xfId="0" applyBorder="1" applyFont="1"/>
    <xf borderId="4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4" fillId="4" fontId="7" numFmtId="0" xfId="0" applyAlignment="1" applyBorder="1" applyFill="1" applyFont="1">
      <alignment horizontal="left" vertical="center"/>
    </xf>
    <xf borderId="4" fillId="4" fontId="8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1" Type="http://customschemas.google.com/relationships/workbookmetadata" Target="metadata"/><Relationship Id="rId130" Type="http://schemas.openxmlformats.org/officeDocument/2006/relationships/worksheet" Target="worksheets/sheet12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5.0"/>
    <col customWidth="1" min="3" max="26" width="8.71"/>
  </cols>
  <sheetData>
    <row r="1" ht="24.75" customHeight="1">
      <c r="A1" s="1" t="s">
        <v>1</v>
      </c>
      <c r="B1" s="3"/>
    </row>
    <row r="3" ht="19.5" customHeight="1">
      <c r="A3" s="6" t="s">
        <v>9</v>
      </c>
      <c r="B3" s="6" t="s">
        <v>14</v>
      </c>
    </row>
    <row r="4" ht="18.0" customHeight="1">
      <c r="A4" s="11" t="str">
        <f>HYPERLINK("#Marchi!A1", "Marchi")</f>
        <v>Marchi</v>
      </c>
      <c r="B4" s="8" t="s">
        <v>47</v>
      </c>
    </row>
    <row r="5" ht="18.0" customHeight="1">
      <c r="A5" s="12" t="str">
        <f>HYPERLINK("#Artefatti!A1", "Artefatti")</f>
        <v>Artefatti</v>
      </c>
      <c r="B5" s="10" t="s">
        <v>75</v>
      </c>
    </row>
    <row r="6" ht="18.0" customHeight="1">
      <c r="A6" s="11" t="str">
        <f>HYPERLINK("#Sage!A1", "Sage")</f>
        <v>Sage</v>
      </c>
      <c r="B6" s="8" t="s">
        <v>94</v>
      </c>
    </row>
    <row r="7" ht="18.0" customHeight="1">
      <c r="A7" s="12" t="str">
        <f>HYPERLINK("#'Shura DC'!A1", "Shura DC")</f>
        <v>Shura DC</v>
      </c>
      <c r="B7" s="10" t="s">
        <v>94</v>
      </c>
    </row>
    <row r="8" ht="18.0" customHeight="1">
      <c r="A8" s="11" t="str">
        <f>HYPERLINK("#Hécate!A1", "Hécate")</f>
        <v>Hécate</v>
      </c>
      <c r="B8" s="8" t="s">
        <v>94</v>
      </c>
    </row>
    <row r="9" ht="18.0" customHeight="1">
      <c r="A9" s="12" t="str">
        <f>HYPERLINK("#'Cain·Abel'!A1", "Cain·Abel")</f>
        <v>Cain·Abel</v>
      </c>
      <c r="B9" s="10" t="s">
        <v>94</v>
      </c>
    </row>
    <row r="10" ht="18.0" customHeight="1">
      <c r="A10" s="11" t="str">
        <f>HYPERLINK("#Aiacos!A1", "Aiacos")</f>
        <v>Aiacos</v>
      </c>
      <c r="B10" s="8" t="s">
        <v>94</v>
      </c>
    </row>
    <row r="11" ht="18.0" customHeight="1">
      <c r="A11" s="12" t="str">
        <f>HYPERLINK("#Minos!A1", "Minos")</f>
        <v>Minos</v>
      </c>
      <c r="B11" s="10" t="s">
        <v>94</v>
      </c>
    </row>
    <row r="12" ht="18.0" customHeight="1">
      <c r="A12" s="11" t="str">
        <f>HYPERLINK("#'Shun Hades'!A1", "Shun Hades")</f>
        <v>Shun Hades</v>
      </c>
      <c r="B12" s="8" t="s">
        <v>94</v>
      </c>
    </row>
    <row r="13" ht="18.0" customHeight="1">
      <c r="A13" s="12" t="str">
        <f>HYPERLINK("#Hypnos!A1", "Hypnos")</f>
        <v>Hypnos</v>
      </c>
      <c r="B13" s="10" t="s">
        <v>94</v>
      </c>
    </row>
    <row r="14" ht="18.0" customHeight="1">
      <c r="A14" s="11" t="str">
        <f>HYPERLINK("#Thanatos!A1", "Thanatos")</f>
        <v>Thanatos</v>
      </c>
      <c r="B14" s="8" t="s">
        <v>94</v>
      </c>
    </row>
    <row r="15" ht="18.0" customHeight="1">
      <c r="A15" s="12" t="str">
        <f>HYPERLINK("#Rhadamanthe!A1", "Rhadamanthe")</f>
        <v>Rhadamanthe</v>
      </c>
      <c r="B15" s="10" t="s">
        <v>94</v>
      </c>
    </row>
    <row r="16" ht="18.0" customHeight="1">
      <c r="A16" s="11" t="str">
        <f>HYPERLINK("#'Aphrodite DC'!A1", "Aphrodite DC")</f>
        <v>Aphrodite DC</v>
      </c>
      <c r="B16" s="8" t="s">
        <v>94</v>
      </c>
    </row>
    <row r="17" ht="18.0" customHeight="1">
      <c r="A17" s="12" t="str">
        <f>HYPERLINK("#Hadès!A1", "Hadès")</f>
        <v>Hadès</v>
      </c>
      <c r="B17" s="10" t="s">
        <v>94</v>
      </c>
    </row>
    <row r="18" ht="18.0" customHeight="1">
      <c r="A18" s="11" t="str">
        <f>HYPERLINK("#'Suikyo Garuda'!A1", "Suikyo Garuda")</f>
        <v>Suikyo Garuda</v>
      </c>
      <c r="B18" s="8" t="s">
        <v>94</v>
      </c>
    </row>
    <row r="19" ht="18.0" customHeight="1">
      <c r="A19" s="12" t="str">
        <f>HYPERLINK("#Alone!A1", "Alone")</f>
        <v>Alone</v>
      </c>
      <c r="B19" s="10" t="s">
        <v>94</v>
      </c>
    </row>
    <row r="20" ht="18.0" customHeight="1">
      <c r="A20" s="11" t="str">
        <f>HYPERLINK("#'Milo DC'!A1", "Milo DC")</f>
        <v>Milo DC</v>
      </c>
      <c r="B20" s="8" t="s">
        <v>94</v>
      </c>
    </row>
    <row r="21" ht="18.0" customHeight="1">
      <c r="A21" s="12" t="str">
        <f>HYPERLINK("#'Pandora (ND)'!A1", "Pandora (ND)")</f>
        <v>Pandora (ND)</v>
      </c>
      <c r="B21" s="10" t="s">
        <v>94</v>
      </c>
    </row>
    <row r="22" ht="18.0" customHeight="1">
      <c r="A22" s="11" t="str">
        <f>HYPERLINK("#Chagall!A1", "Chagall")</f>
        <v>Chagall</v>
      </c>
      <c r="B22" s="8" t="s">
        <v>94</v>
      </c>
    </row>
    <row r="23" ht="18.0" customHeight="1">
      <c r="A23" s="12" t="str">
        <f>HYPERLINK("#Kagaho!A1", "Kagaho")</f>
        <v>Kagaho</v>
      </c>
      <c r="B23" s="10" t="s">
        <v>94</v>
      </c>
    </row>
    <row r="24" ht="18.0" customHeight="1">
      <c r="A24" s="11" t="str">
        <f>HYPERLINK("#Asclépios!A1", "Asclépios")</f>
        <v>Asclépios</v>
      </c>
      <c r="B24" s="8" t="s">
        <v>94</v>
      </c>
    </row>
    <row r="25" ht="18.0" customHeight="1">
      <c r="A25" s="12" t="str">
        <f>HYPERLINK("#'Minos (LC)'!A1", "Minos (LC)")</f>
        <v>Minos (LC)</v>
      </c>
      <c r="B25" s="10" t="s">
        <v>94</v>
      </c>
    </row>
    <row r="26" ht="18.0" customHeight="1">
      <c r="A26" s="11" t="str">
        <f>HYPERLINK("#'Thanatos (LC)'!A1", "Thanatos (LC)")</f>
        <v>Thanatos (LC)</v>
      </c>
      <c r="B26" s="8" t="s">
        <v>94</v>
      </c>
    </row>
    <row r="27" ht="18.0" customHeight="1">
      <c r="A27" s="12" t="str">
        <f>HYPERLINK("#'Pandora (LC)'!A1", "Pandora (LC)")</f>
        <v>Pandora (LC)</v>
      </c>
      <c r="B27" s="10" t="s">
        <v>94</v>
      </c>
    </row>
    <row r="28" ht="18.0" customHeight="1">
      <c r="A28" s="11" t="str">
        <f>HYPERLINK("#'Alone (LC)'!A1", "Alone (LC)")</f>
        <v>Alone (LC)</v>
      </c>
      <c r="B28" s="8" t="s">
        <v>94</v>
      </c>
    </row>
    <row r="29" ht="18.0" customHeight="1">
      <c r="A29" s="12" t="str">
        <f>HYPERLINK("#Pandora!A1", "Pandora")</f>
        <v>Pandora</v>
      </c>
      <c r="B29" s="10" t="s">
        <v>94</v>
      </c>
    </row>
    <row r="30" ht="18.0" customHeight="1">
      <c r="A30" s="11" t="str">
        <f>HYPERLINK("#Kanon!A1", "Kanon")</f>
        <v>Kanon</v>
      </c>
      <c r="B30" s="8" t="s">
        <v>94</v>
      </c>
    </row>
    <row r="31" ht="18.0" customHeight="1">
      <c r="A31" s="12" t="str">
        <f>HYPERLINK("#'Saga Malefico'!A1", "Saga Malefico")</f>
        <v>Saga Malefico</v>
      </c>
      <c r="B31" s="10" t="s">
        <v>94</v>
      </c>
    </row>
    <row r="32" ht="18.0" customHeight="1">
      <c r="A32" s="11" t="str">
        <f>HYPERLINK("#Shaka!A1", "Shaka")</f>
        <v>Shaka</v>
      </c>
      <c r="B32" s="8" t="s">
        <v>94</v>
      </c>
    </row>
    <row r="33" ht="18.0" customHeight="1">
      <c r="A33" s="12" t="str">
        <f>HYPERLINK("#Saga!A1", "Saga")</f>
        <v>Saga</v>
      </c>
      <c r="B33" s="10" t="s">
        <v>94</v>
      </c>
    </row>
    <row r="34" ht="18.0" customHeight="1">
      <c r="A34" s="11" t="str">
        <f>HYPERLINK("#Sorrento!A1", "Sorrento")</f>
        <v>Sorrento</v>
      </c>
      <c r="B34" s="8" t="s">
        <v>94</v>
      </c>
    </row>
    <row r="35" ht="18.0" customHeight="1">
      <c r="A35" s="12" t="str">
        <f>HYPERLINK("#Poseidon!A1", "Poseidon")</f>
        <v>Poseidon</v>
      </c>
      <c r="B35" s="10" t="s">
        <v>94</v>
      </c>
    </row>
    <row r="36" ht="18.0" customHeight="1">
      <c r="A36" s="11" t="str">
        <f>HYPERLINK("#'Kanon Gemini'!A1", "Kanon Gemini")</f>
        <v>Kanon Gemini</v>
      </c>
      <c r="B36" s="8" t="s">
        <v>94</v>
      </c>
    </row>
    <row r="37" ht="18.0" customHeight="1">
      <c r="A37" s="12" t="str">
        <f>HYPERLINK("#'Seiya DC'!A1", "Seiya DC")</f>
        <v>Seiya DC</v>
      </c>
      <c r="B37" s="10" t="s">
        <v>94</v>
      </c>
    </row>
    <row r="38" ht="18.0" customHeight="1">
      <c r="A38" s="11" t="str">
        <f>HYPERLINK("#Athena!A1", "Athena")</f>
        <v>Athena</v>
      </c>
      <c r="B38" s="8" t="s">
        <v>94</v>
      </c>
    </row>
    <row r="39" ht="18.0" customHeight="1">
      <c r="A39" s="12" t="str">
        <f>HYPERLINK("#'Shiryu DC'!A1", "Shiryu DC")</f>
        <v>Shiryu DC</v>
      </c>
      <c r="B39" s="10" t="s">
        <v>94</v>
      </c>
    </row>
    <row r="40" ht="18.0" customHeight="1">
      <c r="A40" s="11" t="str">
        <f>HYPERLINK("#'Shun DC'!A1", "Shun DC")</f>
        <v>Shun DC</v>
      </c>
      <c r="B40" s="8" t="s">
        <v>94</v>
      </c>
    </row>
    <row r="41" ht="18.0" customHeight="1">
      <c r="A41" s="12" t="str">
        <f>HYPERLINK("#'Shaka Arayashiki'!A1", "Shaka Arayashiki")</f>
        <v>Shaka Arayashiki</v>
      </c>
      <c r="B41" s="10" t="s">
        <v>94</v>
      </c>
    </row>
    <row r="42" ht="18.0" customHeight="1">
      <c r="A42" s="11" t="str">
        <f>HYPERLINK("#'Hyoga DC'!A1", "Hyoga DC")</f>
        <v>Hyoga DC</v>
      </c>
      <c r="B42" s="8" t="s">
        <v>94</v>
      </c>
    </row>
    <row r="43" ht="18.0" customHeight="1">
      <c r="A43" s="12" t="str">
        <f>HYPERLINK("#'Aiolia DC'!A1", "Aiolia DC")</f>
        <v>Aiolia DC</v>
      </c>
      <c r="B43" s="10" t="s">
        <v>94</v>
      </c>
    </row>
    <row r="44" ht="18.0" customHeight="1">
      <c r="A44" s="11" t="str">
        <f>HYPERLINK("#'Ikki DC'!A1", "Ikki DC")</f>
        <v>Ikki DC</v>
      </c>
      <c r="B44" s="8" t="s">
        <v>94</v>
      </c>
    </row>
    <row r="45" ht="18.0" customHeight="1">
      <c r="A45" s="12" t="str">
        <f>HYPERLINK("#Odysseus!A1", "Odysseus")</f>
        <v>Odysseus</v>
      </c>
      <c r="B45" s="10" t="s">
        <v>94</v>
      </c>
    </row>
    <row r="46" ht="18.0" customHeight="1">
      <c r="A46" s="11" t="str">
        <f>HYPERLINK("#'Dohko DC'!A1", "Dohko DC")</f>
        <v>Dohko DC</v>
      </c>
      <c r="B46" s="8" t="s">
        <v>94</v>
      </c>
    </row>
    <row r="47" ht="18.0" customHeight="1">
      <c r="A47" s="12" t="str">
        <f>HYPERLINK("#Artemis!A1", "Artemis")</f>
        <v>Artemis</v>
      </c>
      <c r="B47" s="10" t="s">
        <v>94</v>
      </c>
    </row>
    <row r="48" ht="18.0" customHeight="1">
      <c r="A48" s="11" t="str">
        <f>HYPERLINK("#Toma!A1", "Toma")</f>
        <v>Toma</v>
      </c>
      <c r="B48" s="8" t="s">
        <v>94</v>
      </c>
    </row>
    <row r="49" ht="18.0" customHeight="1">
      <c r="A49" s="12" t="str">
        <f>HYPERLINK("#Shijima!A1", "Shijima")</f>
        <v>Shijima</v>
      </c>
      <c r="B49" s="10" t="s">
        <v>94</v>
      </c>
    </row>
    <row r="50" ht="18.0" customHeight="1">
      <c r="A50" s="11" t="str">
        <f>HYPERLINK("#'Aldebaran DC'!A1", "Aldebaran DC")</f>
        <v>Aldebaran DC</v>
      </c>
      <c r="B50" s="8" t="s">
        <v>94</v>
      </c>
    </row>
    <row r="51" ht="18.0" customHeight="1">
      <c r="A51" s="12" t="str">
        <f>HYPERLINK("#Callisto!A1", "Callisto")</f>
        <v>Callisto</v>
      </c>
      <c r="B51" s="10" t="s">
        <v>94</v>
      </c>
    </row>
    <row r="52" ht="18.0" customHeight="1">
      <c r="A52" s="11" t="str">
        <f>HYPERLINK("#'Camus DC'!A1", "Camus DC")</f>
        <v>Camus DC</v>
      </c>
      <c r="B52" s="8" t="s">
        <v>94</v>
      </c>
    </row>
    <row r="53" ht="18.0" customHeight="1">
      <c r="A53" s="12" t="str">
        <f>HYPERLINK("#Shion!A1", "Shion")</f>
        <v>Shion</v>
      </c>
      <c r="B53" s="10" t="s">
        <v>94</v>
      </c>
    </row>
    <row r="54" ht="18.0" customHeight="1">
      <c r="A54" s="11" t="str">
        <f>HYPERLINK("#'Mu DC'!A1", "Mu DC")</f>
        <v>Mu DC</v>
      </c>
      <c r="B54" s="8" t="s">
        <v>94</v>
      </c>
    </row>
    <row r="55" ht="18.0" customHeight="1">
      <c r="A55" s="12" t="str">
        <f>HYPERLINK("#'Athena Ragazza'!A1", "Athena Ragazza")</f>
        <v>Athena Ragazza</v>
      </c>
      <c r="B55" s="10" t="s">
        <v>94</v>
      </c>
    </row>
    <row r="56" ht="18.0" customHeight="1">
      <c r="A56" s="11" t="str">
        <f>HYPERLINK("#Apollo!A1", "Apollo")</f>
        <v>Apollo</v>
      </c>
      <c r="B56" s="8" t="s">
        <v>94</v>
      </c>
    </row>
    <row r="57" ht="18.0" customHeight="1">
      <c r="A57" s="12" t="str">
        <f>HYPERLINK("#Hakurei!A1", "Hakurei")</f>
        <v>Hakurei</v>
      </c>
      <c r="B57" s="10" t="s">
        <v>94</v>
      </c>
    </row>
    <row r="58" ht="18.0" customHeight="1">
      <c r="A58" s="11" t="str">
        <f>HYPERLINK("#Moses!A1", "Moses")</f>
        <v>Moses</v>
      </c>
      <c r="B58" s="8" t="s">
        <v>94</v>
      </c>
    </row>
    <row r="59" ht="18.0" customHeight="1">
      <c r="A59" s="12" t="str">
        <f>HYPERLINK("#Marin!A1", "Marin")</f>
        <v>Marin</v>
      </c>
      <c r="B59" s="10" t="s">
        <v>94</v>
      </c>
    </row>
    <row r="60" ht="18.0" customHeight="1">
      <c r="A60" s="11" t="str">
        <f>HYPERLINK("#Milo!A1", "Milo")</f>
        <v>Milo</v>
      </c>
      <c r="B60" s="8" t="s">
        <v>94</v>
      </c>
    </row>
    <row r="61" ht="18.0" customHeight="1">
      <c r="A61" s="12" t="str">
        <f>HYPERLINK("#Deathmask!A1", "Deathmask")</f>
        <v>Deathmask</v>
      </c>
      <c r="B61" s="10" t="s">
        <v>94</v>
      </c>
    </row>
    <row r="62" ht="18.0" customHeight="1">
      <c r="A62" s="11" t="str">
        <f>HYPERLINK("#Aphrodite!A1", "Aphrodite")</f>
        <v>Aphrodite</v>
      </c>
      <c r="B62" s="8" t="s">
        <v>94</v>
      </c>
    </row>
    <row r="63" ht="18.0" customHeight="1">
      <c r="A63" s="12" t="str">
        <f>HYPERLINK("#'Athena Terra'!A1", "Athena Terra")</f>
        <v>Athena Terra</v>
      </c>
      <c r="B63" s="10" t="s">
        <v>94</v>
      </c>
    </row>
    <row r="64" ht="18.0" customHeight="1">
      <c r="A64" s="11" t="str">
        <f>HYPERLINK("#Tetis!A1", "Tetis")</f>
        <v>Tetis</v>
      </c>
      <c r="B64" s="8" t="s">
        <v>94</v>
      </c>
    </row>
    <row r="65" ht="18.0" customHeight="1">
      <c r="A65" s="12" t="str">
        <f>HYPERLINK("#Io!A1", "Io")</f>
        <v>Io</v>
      </c>
      <c r="B65" s="10" t="s">
        <v>94</v>
      </c>
    </row>
    <row r="66" ht="18.0" customHeight="1">
      <c r="A66" s="11" t="str">
        <f>HYPERLINK("#Krishna!A1", "Krishna")</f>
        <v>Krishna</v>
      </c>
      <c r="B66" s="8" t="s">
        <v>94</v>
      </c>
    </row>
    <row r="67" ht="18.0" customHeight="1">
      <c r="A67" s="12" t="str">
        <f>HYPERLINK("#'Shiryu Bilancia'!A1", "Shiryu Bilancia")</f>
        <v>Shiryu Bilancia</v>
      </c>
      <c r="B67" s="10" t="s">
        <v>94</v>
      </c>
    </row>
    <row r="68" ht="18.0" customHeight="1">
      <c r="A68" s="11" t="str">
        <f>HYPERLINK("#Kaysa!A1", "Kaysa")</f>
        <v>Kaysa</v>
      </c>
      <c r="B68" s="8" t="s">
        <v>94</v>
      </c>
    </row>
    <row r="69" ht="18.0" customHeight="1">
      <c r="A69" s="12" t="str">
        <f>HYPERLINK("#Isaac!A1", "Isaac")</f>
        <v>Isaac</v>
      </c>
      <c r="B69" s="10" t="s">
        <v>94</v>
      </c>
    </row>
    <row r="70" ht="18.0" customHeight="1">
      <c r="A70" s="11" t="str">
        <f>HYPERLINK("#'Hyoga Acquario'!A1", "Hyoga Acquario")</f>
        <v>Hyoga Acquario</v>
      </c>
      <c r="B70" s="8" t="s">
        <v>94</v>
      </c>
    </row>
    <row r="71" ht="18.0" customHeight="1">
      <c r="A71" s="12" t="str">
        <f>HYPERLINK("#'Ikki Leone'!A1", "Ikki Leone")</f>
        <v>Ikki Leone</v>
      </c>
      <c r="B71" s="10" t="s">
        <v>94</v>
      </c>
    </row>
    <row r="72" ht="18.0" customHeight="1">
      <c r="A72" s="11" t="str">
        <f>HYPERLINK("#'Seiya Gold'!A1", "Seiya Gold")</f>
        <v>Seiya Gold</v>
      </c>
      <c r="B72" s="8" t="s">
        <v>94</v>
      </c>
    </row>
    <row r="73" ht="18.0" customHeight="1">
      <c r="A73" s="12" t="str">
        <f>HYPERLINK("#'Shion Surplice'!A1", "Shion Surplice")</f>
        <v>Shion Surplice</v>
      </c>
      <c r="B73" s="10" t="s">
        <v>94</v>
      </c>
    </row>
    <row r="74" ht="18.0" customHeight="1">
      <c r="A74" s="11" t="str">
        <f>HYPERLINK("#Niobe!A1", "Niobe")</f>
        <v>Niobe</v>
      </c>
      <c r="B74" s="8" t="s">
        <v>94</v>
      </c>
    </row>
    <row r="75" ht="18.0" customHeight="1">
      <c r="A75" s="12" t="str">
        <f>HYPERLINK("#'Shiryu Drago d''Oro'!A1", "Shiryu Drago d'Oro")</f>
        <v>Shiryu Drago d'Oro</v>
      </c>
      <c r="B75" s="10" t="s">
        <v>94</v>
      </c>
    </row>
    <row r="76" ht="18.0" customHeight="1">
      <c r="A76" s="11" t="str">
        <f>HYPERLINK("#Orphee!A1", "Orphee")</f>
        <v>Orphee</v>
      </c>
      <c r="B76" s="8" t="s">
        <v>94</v>
      </c>
    </row>
    <row r="77" ht="18.0" customHeight="1">
      <c r="A77" s="12" t="str">
        <f>HYPERLINK("#'Hyoga Cigno d''Oro'!A1", "Hyoga Cigno d'Oro")</f>
        <v>Hyoga Cigno d'Oro</v>
      </c>
      <c r="B77" s="10" t="s">
        <v>94</v>
      </c>
    </row>
    <row r="78" ht="18.0" customHeight="1">
      <c r="A78" s="11" t="str">
        <f>HYPERLINK("#Zellos!A1", "Zellos")</f>
        <v>Zellos</v>
      </c>
      <c r="B78" s="8" t="s">
        <v>94</v>
      </c>
    </row>
    <row r="79" ht="18.0" customHeight="1">
      <c r="A79" s="12" t="str">
        <f>HYPERLINK("#'Myu Specter'!A1", "Myu Specter")</f>
        <v>Myu Specter</v>
      </c>
      <c r="B79" s="10" t="s">
        <v>94</v>
      </c>
    </row>
    <row r="80" ht="18.0" customHeight="1">
      <c r="A80" s="11" t="str">
        <f>HYPERLINK("#'Shun Gold'!A1", "Shun Gold")</f>
        <v>Shun Gold</v>
      </c>
      <c r="B80" s="8" t="s">
        <v>94</v>
      </c>
    </row>
    <row r="81" ht="18.0" customHeight="1">
      <c r="A81" s="12" t="str">
        <f>HYPERLINK("#Charon!A1", "Charon")</f>
        <v>Charon</v>
      </c>
      <c r="B81" s="10" t="s">
        <v>94</v>
      </c>
    </row>
    <row r="82" ht="18.0" customHeight="1">
      <c r="A82" s="11" t="str">
        <f>HYPERLINK("#Raimi!A1", "Raimi")</f>
        <v>Raimi</v>
      </c>
      <c r="B82" s="8" t="s">
        <v>94</v>
      </c>
    </row>
    <row r="83" ht="18.0" customHeight="1">
      <c r="A83" s="12" t="str">
        <f>HYPERLINK("#Pharaon!A1", "Pharaon")</f>
        <v>Pharaon</v>
      </c>
      <c r="B83" s="10" t="s">
        <v>94</v>
      </c>
    </row>
    <row r="84" ht="18.0" customHeight="1">
      <c r="A84" s="11" t="str">
        <f>HYPERLINK("#'Dhoko Maestro'!A1", "Dhoko Maestro")</f>
        <v>Dhoko Maestro</v>
      </c>
      <c r="B84" s="8" t="s">
        <v>94</v>
      </c>
    </row>
    <row r="85" ht="18.0" customHeight="1">
      <c r="A85" s="12" t="str">
        <f>HYPERLINK("#'Shion Gran Papa'!A1", "Shion Gran Papa")</f>
        <v>Shion Gran Papa</v>
      </c>
      <c r="B85" s="10" t="s">
        <v>94</v>
      </c>
    </row>
    <row r="86" ht="18.0" customHeight="1">
      <c r="A86" s="11" t="str">
        <f>HYPERLINK("#Sylphide!A1", "Sylphide")</f>
        <v>Sylphide</v>
      </c>
      <c r="B86" s="8" t="s">
        <v>94</v>
      </c>
    </row>
    <row r="87" ht="18.0" customHeight="1">
      <c r="A87" s="12" t="str">
        <f>HYPERLINK("#Suikyo!A1", "Suikyo")</f>
        <v>Suikyo</v>
      </c>
      <c r="B87" s="10" t="s">
        <v>94</v>
      </c>
    </row>
    <row r="88" ht="18.0" customHeight="1">
      <c r="A88" s="11" t="str">
        <f>HYPERLINK("#Queen!A1", "Queen")</f>
        <v>Queen</v>
      </c>
      <c r="B88" s="8" t="s">
        <v>94</v>
      </c>
    </row>
    <row r="89" ht="18.0" customHeight="1">
      <c r="A89" s="12" t="str">
        <f>HYPERLINK("#Deathtoll!A1", "Deathtoll")</f>
        <v>Deathtoll</v>
      </c>
      <c r="B89" s="10" t="s">
        <v>94</v>
      </c>
    </row>
    <row r="90" ht="18.0" customHeight="1">
      <c r="A90" s="11" t="str">
        <f>HYPERLINK("#Gigant!A1", "Gigant")</f>
        <v>Gigant</v>
      </c>
      <c r="B90" s="8" t="s">
        <v>94</v>
      </c>
    </row>
    <row r="91" ht="18.0" customHeight="1">
      <c r="A91" s="12" t="str">
        <f>HYPERLINK("#Kaiser!A1", "Kaiser")</f>
        <v>Kaiser</v>
      </c>
      <c r="B91" s="10" t="s">
        <v>94</v>
      </c>
    </row>
    <row r="92" ht="18.0" customHeight="1">
      <c r="A92" s="11" t="str">
        <f>HYPERLINK("#Gestalt!A1", "Gestalt")</f>
        <v>Gestalt</v>
      </c>
      <c r="B92" s="8" t="s">
        <v>94</v>
      </c>
    </row>
    <row r="93" ht="18.0" customHeight="1">
      <c r="A93" s="12" t="str">
        <f>HYPERLINK("#Izo!A1", "Izo")</f>
        <v>Izo</v>
      </c>
      <c r="B93" s="10" t="s">
        <v>94</v>
      </c>
    </row>
    <row r="94" ht="18.0" customHeight="1">
      <c r="A94" s="11" t="str">
        <f>HYPERLINK("#Cardinale!A1", "Cardinale")</f>
        <v>Cardinale</v>
      </c>
      <c r="B94" s="8" t="s">
        <v>94</v>
      </c>
    </row>
    <row r="95" ht="18.0" customHeight="1">
      <c r="A95" s="12" t="str">
        <f>HYPERLINK("#'La Scoumoune'!A1", "La Scoumoune")</f>
        <v>La Scoumoune</v>
      </c>
      <c r="B95" s="10" t="s">
        <v>94</v>
      </c>
    </row>
    <row r="96" ht="18.0" customHeight="1">
      <c r="A96" s="11" t="str">
        <f>HYPERLINK("#Ox!A1", "Ox")</f>
        <v>Ox</v>
      </c>
      <c r="B96" s="8" t="s">
        <v>94</v>
      </c>
    </row>
    <row r="97" ht="18.0" customHeight="1">
      <c r="A97" s="12" t="str">
        <f>HYPERLINK("#Ecarlate!A1", "Ecarlate")</f>
        <v>Ecarlate</v>
      </c>
      <c r="B97" s="10" t="s">
        <v>94</v>
      </c>
    </row>
    <row r="98" ht="18.0" customHeight="1">
      <c r="A98" s="11" t="str">
        <f>HYPERLINK("#Tenma!A1", "Tenma")</f>
        <v>Tenma</v>
      </c>
      <c r="B98" s="8" t="s">
        <v>94</v>
      </c>
    </row>
    <row r="99" ht="18.0" customHeight="1">
      <c r="A99" s="12" t="str">
        <f>HYPERLINK("#Mystoria!A1", "Mystoria")</f>
        <v>Mystoria</v>
      </c>
      <c r="B99" s="10" t="s">
        <v>94</v>
      </c>
    </row>
    <row r="100" ht="18.0" customHeight="1">
      <c r="A100" s="11" t="str">
        <f>HYPERLINK("#Rune!A1", "Rune")</f>
        <v>Rune</v>
      </c>
      <c r="B100" s="8" t="s">
        <v>94</v>
      </c>
    </row>
    <row r="101" ht="18.0" customHeight="1">
      <c r="A101" s="12" t="str">
        <f>HYPERLINK("#'Shiryu Erede'!A1", "Shiryu Erede")</f>
        <v>Shiryu Erede</v>
      </c>
      <c r="B101" s="10" t="s">
        <v>94</v>
      </c>
    </row>
    <row r="102" ht="18.0" customHeight="1">
      <c r="A102" s="11" t="str">
        <f>HYPERLINK("#'Hyoga Erede'!A1", "Hyoga Erede")</f>
        <v>Hyoga Erede</v>
      </c>
      <c r="B102" s="8" t="s">
        <v>94</v>
      </c>
    </row>
    <row r="103" ht="18.0" customHeight="1">
      <c r="A103" s="12" t="str">
        <f>HYPERLINK("#'Shun Vergine'!A1", "Shun Vergine")</f>
        <v>Shun Vergine</v>
      </c>
      <c r="B103" s="10" t="s">
        <v>94</v>
      </c>
    </row>
    <row r="104" ht="18.0" customHeight="1">
      <c r="A104" s="11" t="str">
        <f>HYPERLINK("#Albafica!A1", "Albafica")</f>
        <v>Albafica</v>
      </c>
      <c r="B104" s="8" t="s">
        <v>94</v>
      </c>
    </row>
    <row r="105" ht="18.0" customHeight="1">
      <c r="A105" s="12" t="str">
        <f>HYPERLINK("#'Ikki Leone1'!A1", "Ikki Leone1")</f>
        <v>Ikki Leone1</v>
      </c>
      <c r="B105" s="10" t="s">
        <v>94</v>
      </c>
    </row>
    <row r="106" ht="18.0" customHeight="1">
      <c r="A106" s="11" t="str">
        <f>HYPERLINK("#'Aldebaran Hasgard'!A1", "Aldebaran Hasgard")</f>
        <v>Aldebaran Hasgard</v>
      </c>
      <c r="B106" s="8" t="s">
        <v>94</v>
      </c>
    </row>
    <row r="107" ht="18.0" customHeight="1">
      <c r="A107" s="12" t="str">
        <f>HYPERLINK("#Argeti!A1", "Argeti")</f>
        <v>Argeti</v>
      </c>
      <c r="B107" s="10" t="s">
        <v>94</v>
      </c>
    </row>
    <row r="108" ht="18.0" customHeight="1">
      <c r="A108" s="11" t="str">
        <f>HYPERLINK("#Shaina!A1", "Shaina")</f>
        <v>Shaina</v>
      </c>
      <c r="B108" s="8" t="s">
        <v>94</v>
      </c>
    </row>
    <row r="109" ht="18.0" customHeight="1">
      <c r="A109" s="12" t="str">
        <f>HYPERLINK("#Dante!A1", "Dante")</f>
        <v>Dante</v>
      </c>
      <c r="B109" s="10" t="s">
        <v>94</v>
      </c>
    </row>
    <row r="110" ht="18.0" customHeight="1">
      <c r="A110" s="11" t="str">
        <f>HYPERLINK("#Aiolia!A1", "Aiolia")</f>
        <v>Aiolia</v>
      </c>
      <c r="B110" s="8" t="s">
        <v>94</v>
      </c>
    </row>
    <row r="111" ht="18.0" customHeight="1">
      <c r="A111" s="12" t="str">
        <f>HYPERLINK("#Mu!A1", "Mu")</f>
        <v>Mu</v>
      </c>
      <c r="B111" s="10" t="s">
        <v>94</v>
      </c>
    </row>
    <row r="112" ht="18.0" customHeight="1">
      <c r="A112" s="11" t="str">
        <f>HYPERLINK("#Aiolos!A1", "Aiolos")</f>
        <v>Aiolos</v>
      </c>
      <c r="B112" s="8" t="s">
        <v>94</v>
      </c>
    </row>
    <row r="113" ht="18.0" customHeight="1">
      <c r="A113" s="12" t="str">
        <f>HYPERLINK("#Misty!A1", "Misty")</f>
        <v>Misty</v>
      </c>
      <c r="B113" s="10" t="s">
        <v>94</v>
      </c>
    </row>
    <row r="114" ht="18.0" customHeight="1">
      <c r="A114" s="11" t="str">
        <f>HYPERLINK("#Jamian!A1", "Jamian")</f>
        <v>Jamian</v>
      </c>
      <c r="B114" s="8" t="s">
        <v>94</v>
      </c>
    </row>
    <row r="115" ht="18.0" customHeight="1">
      <c r="A115" s="12" t="str">
        <f>HYPERLINK("#Dios!A1", "Dios")</f>
        <v>Dios</v>
      </c>
      <c r="B115" s="10" t="s">
        <v>94</v>
      </c>
    </row>
    <row r="116" ht="18.0" customHeight="1">
      <c r="A116" s="11" t="str">
        <f>HYPERLINK("#Tremy!A1", "Tremy")</f>
        <v>Tremy</v>
      </c>
      <c r="B116" s="8" t="s">
        <v>94</v>
      </c>
    </row>
    <row r="117" ht="18.0" customHeight="1">
      <c r="A117" s="12" t="str">
        <f>HYPERLINK("#Camus!A1", "Camus")</f>
        <v>Camus</v>
      </c>
      <c r="B117" s="10" t="s">
        <v>94</v>
      </c>
    </row>
    <row r="118" ht="18.0" customHeight="1">
      <c r="A118" s="11" t="str">
        <f>HYPERLINK("#Dohko!A1", "Dohko")</f>
        <v>Dohko</v>
      </c>
      <c r="B118" s="8" t="s">
        <v>94</v>
      </c>
    </row>
    <row r="119" ht="18.0" customHeight="1">
      <c r="A119" s="12" t="str">
        <f>HYPERLINK("#Argor!A1", "Argor")</f>
        <v>Argor</v>
      </c>
      <c r="B119" s="10" t="s">
        <v>94</v>
      </c>
    </row>
    <row r="120" ht="18.0" customHeight="1">
      <c r="A120" s="11" t="str">
        <f>HYPERLINK("#Sirius!A1", "Sirius")</f>
        <v>Sirius</v>
      </c>
      <c r="B120" s="8" t="s">
        <v>94</v>
      </c>
    </row>
    <row r="121" ht="18.0" customHeight="1">
      <c r="A121" s="12" t="str">
        <f>HYPERLINK("#Asterione!A1", "Asterione")</f>
        <v>Asterione</v>
      </c>
      <c r="B121" s="10" t="s">
        <v>94</v>
      </c>
    </row>
    <row r="122" ht="18.0" customHeight="1">
      <c r="A122" s="11" t="str">
        <f>HYPERLINK("#Capella!A1", "Capella")</f>
        <v>Capella</v>
      </c>
      <c r="B122" s="8" t="s">
        <v>94</v>
      </c>
    </row>
    <row r="123" ht="18.0" customHeight="1">
      <c r="A123" s="12" t="str">
        <f>HYPERLINK("#Aldebaran!A1", "Aldebaran")</f>
        <v>Aldebaran</v>
      </c>
      <c r="B123" s="10" t="s">
        <v>94</v>
      </c>
    </row>
    <row r="124" ht="18.0" customHeight="1">
      <c r="A124" s="11" t="str">
        <f>HYPERLINK("#Shura!A1", "Shura")</f>
        <v>Shura</v>
      </c>
      <c r="B124" s="8" t="s">
        <v>94</v>
      </c>
    </row>
    <row r="125" ht="18.0" customHeight="1">
      <c r="A125" s="12" t="str">
        <f>HYPERLINK("#Baian!A1", "Baian")</f>
        <v>Baian</v>
      </c>
      <c r="B125" s="10" t="s">
        <v>94</v>
      </c>
    </row>
    <row r="126" ht="18.0" customHeight="1">
      <c r="A126" s="11" t="str">
        <f>HYPERLINK("#'Seiya Sagittario'!A1", "Seiya Sagittario")</f>
        <v>Seiya Sagittario</v>
      </c>
      <c r="B126" s="8" t="s">
        <v>94</v>
      </c>
    </row>
    <row r="127" ht="18.0" customHeight="1">
      <c r="A127" s="12" t="str">
        <f>HYPERLINK("#June!A1", "June")</f>
        <v>June</v>
      </c>
      <c r="B127" s="10" t="s">
        <v>94</v>
      </c>
    </row>
    <row r="128" ht="18.0" customHeight="1">
      <c r="A128" s="11" t="str">
        <f>HYPERLINK("#'Shun Vergine1'!A1", "Shun Vergine1")</f>
        <v>Shun Vergine1</v>
      </c>
      <c r="B128" s="8" t="s">
        <v>94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0</v>
      </c>
      <c r="B1" s="3"/>
    </row>
    <row r="3" ht="19.5" customHeight="1">
      <c r="A3" s="5" t="s">
        <v>6</v>
      </c>
      <c r="B3" s="3"/>
    </row>
    <row r="4" ht="18.0" customHeight="1">
      <c r="A4" s="7" t="s">
        <v>16</v>
      </c>
      <c r="B4" s="8" t="s">
        <v>19</v>
      </c>
    </row>
    <row r="5" ht="18.0" customHeight="1">
      <c r="A5" s="9" t="s">
        <v>24</v>
      </c>
      <c r="B5" s="10" t="s">
        <v>30</v>
      </c>
    </row>
    <row r="6" ht="18.0" customHeight="1">
      <c r="A6" s="7" t="s">
        <v>34</v>
      </c>
      <c r="B6" s="8" t="s">
        <v>37</v>
      </c>
    </row>
    <row r="7" ht="18.0" customHeight="1">
      <c r="A7" s="9" t="s">
        <v>40</v>
      </c>
      <c r="B7" s="10" t="s">
        <v>43</v>
      </c>
    </row>
    <row r="8" ht="18.0" customHeight="1">
      <c r="A8" s="7" t="s">
        <v>46</v>
      </c>
      <c r="B8" s="8" t="s">
        <v>50</v>
      </c>
    </row>
    <row r="9" ht="18.0" customHeight="1">
      <c r="A9" s="9" t="s">
        <v>51</v>
      </c>
      <c r="B9" s="10" t="s">
        <v>64</v>
      </c>
    </row>
    <row r="10" ht="18.0" customHeight="1">
      <c r="A10" s="7" t="s">
        <v>65</v>
      </c>
      <c r="B10" s="8" t="s">
        <v>67</v>
      </c>
    </row>
    <row r="11" ht="18.0" customHeight="1">
      <c r="A11" s="9" t="s">
        <v>69</v>
      </c>
      <c r="B11" s="10" t="s">
        <v>70</v>
      </c>
    </row>
    <row r="12" ht="18.0" customHeight="1">
      <c r="A12" s="7" t="s">
        <v>72</v>
      </c>
      <c r="B12" s="8" t="s">
        <v>73</v>
      </c>
    </row>
    <row r="13" ht="18.0" customHeight="1">
      <c r="A13" s="9" t="s">
        <v>76</v>
      </c>
      <c r="B13" s="10" t="s">
        <v>78</v>
      </c>
    </row>
    <row r="14" ht="18.0" customHeight="1">
      <c r="A14" s="7" t="s">
        <v>79</v>
      </c>
      <c r="B14" s="8" t="s">
        <v>80</v>
      </c>
    </row>
    <row r="15" ht="18.0" customHeight="1">
      <c r="A15" s="9" t="s">
        <v>83</v>
      </c>
      <c r="B15" s="10" t="s">
        <v>85</v>
      </c>
    </row>
    <row r="17" ht="19.5" customHeight="1">
      <c r="A17" s="5" t="s">
        <v>88</v>
      </c>
      <c r="B17" s="3"/>
    </row>
    <row r="18" ht="18.0" customHeight="1">
      <c r="A18" s="7" t="s">
        <v>16</v>
      </c>
      <c r="B18" s="8" t="s">
        <v>92</v>
      </c>
    </row>
    <row r="19" ht="18.0" customHeight="1">
      <c r="A19" s="9" t="s">
        <v>24</v>
      </c>
      <c r="B19" s="10" t="s">
        <v>30</v>
      </c>
    </row>
    <row r="20" ht="18.0" customHeight="1">
      <c r="A20" s="7" t="s">
        <v>34</v>
      </c>
      <c r="B20" s="8" t="s">
        <v>96</v>
      </c>
    </row>
    <row r="21" ht="18.0" customHeight="1">
      <c r="A21" s="9" t="s">
        <v>40</v>
      </c>
      <c r="B21" s="10" t="s">
        <v>98</v>
      </c>
    </row>
    <row r="22" ht="18.0" customHeight="1">
      <c r="A22" s="7" t="s">
        <v>46</v>
      </c>
      <c r="B22" s="8" t="s">
        <v>100</v>
      </c>
    </row>
    <row r="23" ht="18.0" customHeight="1">
      <c r="A23" s="9" t="s">
        <v>51</v>
      </c>
      <c r="B23" s="10" t="s">
        <v>104</v>
      </c>
    </row>
    <row r="24" ht="18.0" customHeight="1">
      <c r="A24" s="7" t="s">
        <v>65</v>
      </c>
      <c r="B24" s="8" t="s">
        <v>67</v>
      </c>
    </row>
    <row r="25" ht="18.0" customHeight="1">
      <c r="A25" s="9" t="s">
        <v>69</v>
      </c>
      <c r="B25" s="10" t="s">
        <v>109</v>
      </c>
    </row>
    <row r="26" ht="18.0" customHeight="1">
      <c r="A26" s="7" t="s">
        <v>72</v>
      </c>
      <c r="B26" s="8" t="s">
        <v>111</v>
      </c>
    </row>
    <row r="27" ht="18.0" customHeight="1">
      <c r="A27" s="9" t="s">
        <v>76</v>
      </c>
      <c r="B27" s="10" t="s">
        <v>113</v>
      </c>
    </row>
    <row r="28" ht="18.0" customHeight="1">
      <c r="A28" s="7" t="s">
        <v>79</v>
      </c>
      <c r="B28" s="8" t="s">
        <v>116</v>
      </c>
    </row>
    <row r="29" ht="18.0" customHeight="1">
      <c r="A29" s="9" t="s">
        <v>83</v>
      </c>
      <c r="B29" s="10" t="s">
        <v>119</v>
      </c>
    </row>
    <row r="30" ht="15.75" customHeight="1"/>
    <row r="31" ht="19.5" customHeight="1">
      <c r="A31" s="5" t="s">
        <v>121</v>
      </c>
      <c r="B31" s="3"/>
    </row>
    <row r="32" ht="18.0" customHeight="1">
      <c r="A32" s="7" t="s">
        <v>16</v>
      </c>
      <c r="B32" s="8" t="s">
        <v>128</v>
      </c>
    </row>
    <row r="33" ht="18.0" customHeight="1">
      <c r="A33" s="9" t="s">
        <v>24</v>
      </c>
      <c r="B33" s="10" t="s">
        <v>30</v>
      </c>
    </row>
    <row r="34" ht="18.0" customHeight="1">
      <c r="A34" s="7" t="s">
        <v>34</v>
      </c>
      <c r="B34" s="8" t="s">
        <v>133</v>
      </c>
    </row>
    <row r="35" ht="18.0" customHeight="1">
      <c r="A35" s="9" t="s">
        <v>40</v>
      </c>
      <c r="B35" s="10" t="s">
        <v>134</v>
      </c>
    </row>
    <row r="36" ht="18.0" customHeight="1">
      <c r="A36" s="7" t="s">
        <v>46</v>
      </c>
      <c r="B36" s="8" t="s">
        <v>136</v>
      </c>
    </row>
    <row r="37" ht="18.0" customHeight="1">
      <c r="A37" s="9" t="s">
        <v>51</v>
      </c>
      <c r="B37" s="10" t="s">
        <v>137</v>
      </c>
    </row>
    <row r="38" ht="18.0" customHeight="1">
      <c r="A38" s="7" t="s">
        <v>65</v>
      </c>
      <c r="B38" s="8" t="s">
        <v>67</v>
      </c>
    </row>
    <row r="39" ht="18.0" customHeight="1">
      <c r="A39" s="9" t="s">
        <v>69</v>
      </c>
      <c r="B39" s="10" t="s">
        <v>140</v>
      </c>
    </row>
    <row r="40" ht="18.0" customHeight="1">
      <c r="A40" s="7" t="s">
        <v>72</v>
      </c>
      <c r="B40" s="8" t="s">
        <v>142</v>
      </c>
    </row>
    <row r="41" ht="18.0" customHeight="1">
      <c r="A41" s="9" t="s">
        <v>76</v>
      </c>
      <c r="B41" s="10" t="s">
        <v>144</v>
      </c>
    </row>
    <row r="42" ht="18.0" customHeight="1">
      <c r="A42" s="7" t="s">
        <v>79</v>
      </c>
      <c r="B42" s="8" t="s">
        <v>146</v>
      </c>
    </row>
    <row r="43" ht="18.0" customHeight="1">
      <c r="A43" s="9" t="s">
        <v>83</v>
      </c>
      <c r="B43" s="10" t="s">
        <v>148</v>
      </c>
    </row>
    <row r="44" ht="15.75" customHeight="1"/>
    <row r="45" ht="19.5" customHeight="1">
      <c r="A45" s="5" t="s">
        <v>150</v>
      </c>
      <c r="B45" s="3"/>
    </row>
    <row r="46" ht="18.0" customHeight="1">
      <c r="A46" s="7" t="s">
        <v>16</v>
      </c>
      <c r="B46" s="8" t="s">
        <v>152</v>
      </c>
    </row>
    <row r="47" ht="18.0" customHeight="1">
      <c r="A47" s="9" t="s">
        <v>24</v>
      </c>
      <c r="B47" s="10" t="s">
        <v>30</v>
      </c>
    </row>
    <row r="48" ht="18.0" customHeight="1">
      <c r="A48" s="7" t="s">
        <v>153</v>
      </c>
      <c r="B48" s="8" t="s">
        <v>154</v>
      </c>
    </row>
    <row r="49" ht="18.0" customHeight="1">
      <c r="A49" s="9" t="s">
        <v>155</v>
      </c>
      <c r="B49" s="10" t="s">
        <v>156</v>
      </c>
    </row>
    <row r="50" ht="18.0" customHeight="1">
      <c r="A50" s="7" t="s">
        <v>159</v>
      </c>
      <c r="B50" s="8" t="s">
        <v>160</v>
      </c>
    </row>
    <row r="51" ht="18.0" customHeight="1">
      <c r="A51" s="9" t="s">
        <v>161</v>
      </c>
      <c r="B51" s="10" t="s">
        <v>163</v>
      </c>
    </row>
    <row r="52" ht="18.0" customHeight="1">
      <c r="A52" s="7" t="s">
        <v>164</v>
      </c>
      <c r="B52" s="8" t="s">
        <v>166</v>
      </c>
    </row>
    <row r="53" ht="18.0" customHeight="1">
      <c r="A53" s="9" t="s">
        <v>167</v>
      </c>
      <c r="B53" s="10" t="s">
        <v>168</v>
      </c>
    </row>
    <row r="54" ht="18.0" customHeight="1">
      <c r="A54" s="7" t="s">
        <v>170</v>
      </c>
      <c r="B54" s="8" t="s">
        <v>171</v>
      </c>
    </row>
    <row r="55" ht="18.0" customHeight="1">
      <c r="A55" s="9" t="s">
        <v>173</v>
      </c>
      <c r="B55" s="10" t="s">
        <v>174</v>
      </c>
    </row>
    <row r="56" ht="18.0" customHeight="1">
      <c r="A56" s="7" t="s">
        <v>65</v>
      </c>
      <c r="B56" s="8" t="s">
        <v>175</v>
      </c>
    </row>
    <row r="57" ht="18.0" customHeight="1">
      <c r="A57" s="9" t="s">
        <v>69</v>
      </c>
      <c r="B57" s="10" t="s">
        <v>177</v>
      </c>
    </row>
    <row r="58" ht="18.0" customHeight="1">
      <c r="A58" s="7" t="s">
        <v>72</v>
      </c>
      <c r="B58" s="8" t="s">
        <v>178</v>
      </c>
    </row>
    <row r="59" ht="18.0" customHeight="1">
      <c r="A59" s="9" t="s">
        <v>76</v>
      </c>
      <c r="B59" s="10" t="s">
        <v>179</v>
      </c>
    </row>
    <row r="60" ht="18.0" customHeight="1">
      <c r="A60" s="7" t="s">
        <v>79</v>
      </c>
      <c r="B60" s="8" t="s">
        <v>181</v>
      </c>
    </row>
    <row r="61" ht="18.0" customHeight="1">
      <c r="A61" s="9" t="s">
        <v>83</v>
      </c>
      <c r="B61" s="10" t="s">
        <v>182</v>
      </c>
    </row>
    <row r="62" ht="15.75" customHeight="1"/>
    <row r="63" ht="19.5" customHeight="1">
      <c r="A63" s="5" t="s">
        <v>184</v>
      </c>
      <c r="B63" s="3"/>
    </row>
    <row r="64" ht="18.0" customHeight="1">
      <c r="A64" s="7" t="s">
        <v>16</v>
      </c>
      <c r="B64" s="8" t="s">
        <v>188</v>
      </c>
    </row>
    <row r="65" ht="18.0" customHeight="1">
      <c r="A65" s="9" t="s">
        <v>24</v>
      </c>
      <c r="B65" s="10" t="s">
        <v>30</v>
      </c>
    </row>
    <row r="66" ht="18.0" customHeight="1">
      <c r="A66" s="7" t="s">
        <v>153</v>
      </c>
      <c r="B66" s="8" t="s">
        <v>189</v>
      </c>
    </row>
    <row r="67" ht="18.0" customHeight="1">
      <c r="A67" s="9" t="s">
        <v>191</v>
      </c>
      <c r="B67" s="10" t="s">
        <v>192</v>
      </c>
    </row>
    <row r="68" ht="18.0" customHeight="1">
      <c r="A68" s="7" t="s">
        <v>193</v>
      </c>
      <c r="B68" s="8" t="s">
        <v>194</v>
      </c>
    </row>
    <row r="69" ht="18.0" customHeight="1">
      <c r="A69" s="9" t="s">
        <v>195</v>
      </c>
      <c r="B69" s="10" t="s">
        <v>196</v>
      </c>
    </row>
    <row r="70" ht="18.0" customHeight="1">
      <c r="A70" s="7" t="s">
        <v>164</v>
      </c>
      <c r="B70" s="8" t="s">
        <v>198</v>
      </c>
    </row>
    <row r="71" ht="18.0" customHeight="1">
      <c r="A71" s="9" t="s">
        <v>199</v>
      </c>
      <c r="B71" s="10" t="s">
        <v>200</v>
      </c>
    </row>
    <row r="72" ht="18.0" customHeight="1">
      <c r="A72" s="7" t="s">
        <v>202</v>
      </c>
      <c r="B72" s="8" t="s">
        <v>203</v>
      </c>
    </row>
    <row r="73" ht="18.0" customHeight="1">
      <c r="A73" s="9" t="s">
        <v>204</v>
      </c>
      <c r="B73" s="10" t="s">
        <v>205</v>
      </c>
    </row>
    <row r="74" ht="18.0" customHeight="1">
      <c r="A74" s="7" t="s">
        <v>65</v>
      </c>
      <c r="B74" s="8" t="s">
        <v>175</v>
      </c>
    </row>
    <row r="75" ht="18.0" customHeight="1">
      <c r="A75" s="9" t="s">
        <v>69</v>
      </c>
      <c r="B75" s="10" t="s">
        <v>207</v>
      </c>
    </row>
    <row r="76" ht="18.0" customHeight="1">
      <c r="A76" s="7" t="s">
        <v>72</v>
      </c>
      <c r="B76" s="8" t="s">
        <v>209</v>
      </c>
    </row>
    <row r="77" ht="18.0" customHeight="1">
      <c r="A77" s="9" t="s">
        <v>76</v>
      </c>
      <c r="B77" s="10" t="s">
        <v>211</v>
      </c>
    </row>
    <row r="78" ht="18.0" customHeight="1">
      <c r="A78" s="7" t="s">
        <v>79</v>
      </c>
      <c r="B78" s="8" t="s">
        <v>212</v>
      </c>
    </row>
    <row r="79" ht="18.0" customHeight="1">
      <c r="A79" s="9" t="s">
        <v>83</v>
      </c>
      <c r="B79" s="10" t="s">
        <v>213</v>
      </c>
    </row>
    <row r="80" ht="15.75" customHeight="1"/>
    <row r="81" ht="19.5" customHeight="1">
      <c r="A81" s="5" t="s">
        <v>214</v>
      </c>
      <c r="B81" s="3"/>
    </row>
    <row r="82" ht="18.0" customHeight="1">
      <c r="A82" s="7" t="s">
        <v>16</v>
      </c>
      <c r="B82" s="8" t="s">
        <v>217</v>
      </c>
    </row>
    <row r="83" ht="18.0" customHeight="1">
      <c r="A83" s="9" t="s">
        <v>24</v>
      </c>
      <c r="B83" s="10" t="s">
        <v>30</v>
      </c>
    </row>
    <row r="84" ht="18.0" customHeight="1">
      <c r="A84" s="7" t="s">
        <v>153</v>
      </c>
      <c r="B84" s="8" t="s">
        <v>220</v>
      </c>
    </row>
    <row r="85" ht="18.0" customHeight="1">
      <c r="A85" s="9" t="s">
        <v>221</v>
      </c>
      <c r="B85" s="10" t="s">
        <v>223</v>
      </c>
    </row>
    <row r="86" ht="18.0" customHeight="1">
      <c r="A86" s="7" t="s">
        <v>224</v>
      </c>
      <c r="B86" s="8" t="s">
        <v>226</v>
      </c>
    </row>
    <row r="87" ht="18.0" customHeight="1">
      <c r="A87" s="9" t="s">
        <v>227</v>
      </c>
      <c r="B87" s="10" t="s">
        <v>228</v>
      </c>
    </row>
    <row r="88" ht="18.0" customHeight="1">
      <c r="A88" s="7" t="s">
        <v>164</v>
      </c>
      <c r="B88" s="8" t="s">
        <v>229</v>
      </c>
    </row>
    <row r="89" ht="18.0" customHeight="1">
      <c r="A89" s="9" t="s">
        <v>230</v>
      </c>
      <c r="B89" s="10" t="s">
        <v>231</v>
      </c>
    </row>
    <row r="90" ht="18.0" customHeight="1">
      <c r="A90" s="7" t="s">
        <v>232</v>
      </c>
      <c r="B90" s="8" t="s">
        <v>233</v>
      </c>
    </row>
    <row r="91" ht="18.0" customHeight="1">
      <c r="A91" s="9" t="s">
        <v>234</v>
      </c>
      <c r="B91" s="10" t="s">
        <v>236</v>
      </c>
    </row>
    <row r="92" ht="18.0" customHeight="1">
      <c r="A92" s="7" t="s">
        <v>65</v>
      </c>
      <c r="B92" s="8" t="s">
        <v>175</v>
      </c>
    </row>
    <row r="93" ht="18.0" customHeight="1">
      <c r="A93" s="9" t="s">
        <v>69</v>
      </c>
      <c r="B93" s="10" t="s">
        <v>237</v>
      </c>
    </row>
    <row r="94" ht="18.0" customHeight="1">
      <c r="A94" s="7" t="s">
        <v>72</v>
      </c>
      <c r="B94" s="8" t="s">
        <v>238</v>
      </c>
    </row>
    <row r="95" ht="18.0" customHeight="1">
      <c r="A95" s="9" t="s">
        <v>76</v>
      </c>
      <c r="B95" s="10" t="s">
        <v>239</v>
      </c>
    </row>
    <row r="96" ht="18.0" customHeight="1">
      <c r="A96" s="7" t="s">
        <v>79</v>
      </c>
      <c r="B96" s="8" t="s">
        <v>240</v>
      </c>
    </row>
    <row r="97" ht="18.0" customHeight="1">
      <c r="A97" s="9" t="s">
        <v>83</v>
      </c>
      <c r="B97" s="10" t="s">
        <v>241</v>
      </c>
    </row>
    <row r="98" ht="15.75" customHeight="1"/>
    <row r="99" ht="19.5" customHeight="1">
      <c r="A99" s="5" t="s">
        <v>243</v>
      </c>
      <c r="B99" s="3"/>
    </row>
    <row r="100" ht="18.0" customHeight="1">
      <c r="A100" s="7" t="s">
        <v>16</v>
      </c>
      <c r="B100" s="8" t="s">
        <v>246</v>
      </c>
    </row>
    <row r="101" ht="18.0" customHeight="1">
      <c r="A101" s="9" t="s">
        <v>24</v>
      </c>
      <c r="B101" s="10" t="s">
        <v>30</v>
      </c>
    </row>
    <row r="102" ht="18.0" customHeight="1">
      <c r="A102" s="7" t="s">
        <v>153</v>
      </c>
      <c r="B102" s="8" t="s">
        <v>247</v>
      </c>
    </row>
    <row r="103" ht="18.0" customHeight="1">
      <c r="A103" s="9" t="s">
        <v>248</v>
      </c>
      <c r="B103" s="10" t="s">
        <v>249</v>
      </c>
    </row>
    <row r="104" ht="18.0" customHeight="1">
      <c r="A104" s="7" t="s">
        <v>250</v>
      </c>
      <c r="B104" s="8" t="s">
        <v>251</v>
      </c>
    </row>
    <row r="105" ht="18.0" customHeight="1">
      <c r="A105" s="9" t="s">
        <v>252</v>
      </c>
      <c r="B105" s="10" t="s">
        <v>253</v>
      </c>
    </row>
    <row r="106" ht="18.0" customHeight="1">
      <c r="A106" s="7" t="s">
        <v>164</v>
      </c>
      <c r="B106" s="8" t="s">
        <v>254</v>
      </c>
    </row>
    <row r="107" ht="18.0" customHeight="1">
      <c r="A107" s="9" t="s">
        <v>255</v>
      </c>
      <c r="B107" s="10" t="s">
        <v>256</v>
      </c>
    </row>
    <row r="108" ht="18.0" customHeight="1">
      <c r="A108" s="7" t="s">
        <v>257</v>
      </c>
      <c r="B108" s="8" t="s">
        <v>258</v>
      </c>
    </row>
    <row r="109" ht="18.0" customHeight="1">
      <c r="A109" s="9" t="s">
        <v>259</v>
      </c>
      <c r="B109" s="10" t="s">
        <v>260</v>
      </c>
    </row>
    <row r="110" ht="18.0" customHeight="1">
      <c r="A110" s="7" t="s">
        <v>65</v>
      </c>
      <c r="B110" s="8" t="s">
        <v>175</v>
      </c>
    </row>
    <row r="111" ht="18.0" customHeight="1">
      <c r="A111" s="9" t="s">
        <v>69</v>
      </c>
      <c r="B111" s="10" t="s">
        <v>261</v>
      </c>
    </row>
    <row r="112" ht="18.0" customHeight="1">
      <c r="A112" s="7" t="s">
        <v>72</v>
      </c>
      <c r="B112" s="8" t="s">
        <v>262</v>
      </c>
    </row>
    <row r="113" ht="18.0" customHeight="1">
      <c r="A113" s="9" t="s">
        <v>76</v>
      </c>
      <c r="B113" s="10" t="s">
        <v>263</v>
      </c>
    </row>
    <row r="114" ht="18.0" customHeight="1">
      <c r="A114" s="7" t="s">
        <v>79</v>
      </c>
      <c r="B114" s="8" t="s">
        <v>264</v>
      </c>
    </row>
    <row r="115" ht="18.0" customHeight="1">
      <c r="A115" s="9" t="s">
        <v>83</v>
      </c>
      <c r="B115" s="10" t="s">
        <v>265</v>
      </c>
    </row>
    <row r="116" ht="15.75" customHeight="1"/>
    <row r="117" ht="19.5" customHeight="1">
      <c r="A117" s="5" t="s">
        <v>266</v>
      </c>
      <c r="B117" s="3"/>
    </row>
    <row r="118" ht="18.0" customHeight="1">
      <c r="A118" s="7" t="s">
        <v>16</v>
      </c>
      <c r="B118" s="8" t="s">
        <v>267</v>
      </c>
    </row>
    <row r="119" ht="18.0" customHeight="1">
      <c r="A119" s="9" t="s">
        <v>24</v>
      </c>
      <c r="B119" s="10" t="s">
        <v>30</v>
      </c>
    </row>
    <row r="120" ht="18.0" customHeight="1">
      <c r="A120" s="7" t="s">
        <v>153</v>
      </c>
      <c r="B120" s="8" t="s">
        <v>268</v>
      </c>
    </row>
    <row r="121" ht="18.0" customHeight="1">
      <c r="A121" s="9" t="s">
        <v>269</v>
      </c>
      <c r="B121" s="10" t="s">
        <v>270</v>
      </c>
    </row>
    <row r="122" ht="18.0" customHeight="1">
      <c r="A122" s="7" t="s">
        <v>271</v>
      </c>
      <c r="B122" s="8" t="s">
        <v>272</v>
      </c>
    </row>
    <row r="123" ht="18.0" customHeight="1">
      <c r="A123" s="9" t="s">
        <v>273</v>
      </c>
      <c r="B123" s="10" t="s">
        <v>274</v>
      </c>
    </row>
    <row r="124" ht="18.0" customHeight="1">
      <c r="A124" s="7" t="s">
        <v>164</v>
      </c>
      <c r="B124" s="8" t="s">
        <v>275</v>
      </c>
    </row>
    <row r="125" ht="18.0" customHeight="1">
      <c r="A125" s="9" t="s">
        <v>276</v>
      </c>
      <c r="B125" s="10" t="s">
        <v>277</v>
      </c>
    </row>
    <row r="126" ht="18.0" customHeight="1">
      <c r="A126" s="7" t="s">
        <v>278</v>
      </c>
      <c r="B126" s="8" t="s">
        <v>279</v>
      </c>
    </row>
    <row r="127" ht="18.0" customHeight="1">
      <c r="A127" s="9" t="s">
        <v>280</v>
      </c>
      <c r="B127" s="10" t="s">
        <v>281</v>
      </c>
    </row>
    <row r="128" ht="18.0" customHeight="1">
      <c r="A128" s="7" t="s">
        <v>65</v>
      </c>
      <c r="B128" s="8" t="s">
        <v>175</v>
      </c>
    </row>
    <row r="129" ht="18.0" customHeight="1">
      <c r="A129" s="9" t="s">
        <v>69</v>
      </c>
      <c r="B129" s="10" t="s">
        <v>282</v>
      </c>
    </row>
    <row r="130" ht="18.0" customHeight="1">
      <c r="A130" s="7" t="s">
        <v>72</v>
      </c>
      <c r="B130" s="8" t="s">
        <v>283</v>
      </c>
    </row>
    <row r="131" ht="18.0" customHeight="1">
      <c r="A131" s="9" t="s">
        <v>76</v>
      </c>
      <c r="B131" s="10" t="s">
        <v>284</v>
      </c>
    </row>
    <row r="132" ht="18.0" customHeight="1">
      <c r="A132" s="7" t="s">
        <v>79</v>
      </c>
      <c r="B132" s="8" t="s">
        <v>285</v>
      </c>
    </row>
    <row r="133" ht="18.0" customHeight="1">
      <c r="A133" s="9" t="s">
        <v>83</v>
      </c>
      <c r="B133" s="10" t="s">
        <v>286</v>
      </c>
    </row>
    <row r="134" ht="15.75" customHeight="1"/>
    <row r="135" ht="19.5" customHeight="1">
      <c r="A135" s="5" t="s">
        <v>287</v>
      </c>
      <c r="B135" s="3"/>
    </row>
    <row r="136" ht="18.0" customHeight="1">
      <c r="A136" s="7" t="s">
        <v>16</v>
      </c>
      <c r="B136" s="8" t="s">
        <v>288</v>
      </c>
    </row>
    <row r="137" ht="18.0" customHeight="1">
      <c r="A137" s="9" t="s">
        <v>24</v>
      </c>
      <c r="B137" s="10" t="s">
        <v>30</v>
      </c>
    </row>
    <row r="138" ht="18.0" customHeight="1">
      <c r="A138" s="7" t="s">
        <v>153</v>
      </c>
      <c r="B138" s="8" t="s">
        <v>289</v>
      </c>
    </row>
    <row r="139" ht="18.0" customHeight="1">
      <c r="A139" s="9" t="s">
        <v>290</v>
      </c>
      <c r="B139" s="10" t="s">
        <v>291</v>
      </c>
    </row>
    <row r="140" ht="18.0" customHeight="1">
      <c r="A140" s="7" t="s">
        <v>292</v>
      </c>
      <c r="B140" s="8" t="s">
        <v>293</v>
      </c>
    </row>
    <row r="141" ht="18.0" customHeight="1">
      <c r="A141" s="9" t="s">
        <v>294</v>
      </c>
      <c r="B141" s="10" t="s">
        <v>295</v>
      </c>
    </row>
    <row r="142" ht="18.0" customHeight="1">
      <c r="A142" s="7" t="s">
        <v>164</v>
      </c>
      <c r="B142" s="8" t="s">
        <v>296</v>
      </c>
    </row>
    <row r="143" ht="18.0" customHeight="1">
      <c r="A143" s="9" t="s">
        <v>297</v>
      </c>
      <c r="B143" s="10" t="s">
        <v>298</v>
      </c>
    </row>
    <row r="144" ht="18.0" customHeight="1">
      <c r="A144" s="7" t="s">
        <v>299</v>
      </c>
      <c r="B144" s="8" t="s">
        <v>300</v>
      </c>
    </row>
    <row r="145" ht="18.0" customHeight="1">
      <c r="A145" s="9" t="s">
        <v>301</v>
      </c>
      <c r="B145" s="10" t="s">
        <v>302</v>
      </c>
    </row>
    <row r="146" ht="18.0" customHeight="1">
      <c r="A146" s="7" t="s">
        <v>65</v>
      </c>
      <c r="B146" s="8" t="s">
        <v>175</v>
      </c>
    </row>
    <row r="147" ht="18.0" customHeight="1">
      <c r="A147" s="9" t="s">
        <v>69</v>
      </c>
      <c r="B147" s="10" t="s">
        <v>303</v>
      </c>
    </row>
    <row r="148" ht="18.0" customHeight="1">
      <c r="A148" s="7" t="s">
        <v>72</v>
      </c>
      <c r="B148" s="8" t="s">
        <v>304</v>
      </c>
    </row>
    <row r="149" ht="18.0" customHeight="1">
      <c r="A149" s="9" t="s">
        <v>76</v>
      </c>
      <c r="B149" s="10" t="s">
        <v>305</v>
      </c>
    </row>
    <row r="150" ht="18.0" customHeight="1">
      <c r="A150" s="7" t="s">
        <v>79</v>
      </c>
      <c r="B150" s="8" t="s">
        <v>212</v>
      </c>
    </row>
    <row r="151" ht="18.0" customHeight="1">
      <c r="A151" s="9" t="s">
        <v>83</v>
      </c>
      <c r="B151" s="10" t="s">
        <v>306</v>
      </c>
    </row>
    <row r="152" ht="15.75" customHeight="1"/>
    <row r="153" ht="19.5" customHeight="1">
      <c r="A153" s="5" t="s">
        <v>307</v>
      </c>
      <c r="B153" s="3"/>
    </row>
    <row r="154" ht="18.0" customHeight="1">
      <c r="A154" s="7" t="s">
        <v>16</v>
      </c>
      <c r="B154" s="8" t="s">
        <v>308</v>
      </c>
    </row>
    <row r="155" ht="18.0" customHeight="1">
      <c r="A155" s="9" t="s">
        <v>24</v>
      </c>
      <c r="B155" s="10" t="s">
        <v>30</v>
      </c>
    </row>
    <row r="156" ht="18.0" customHeight="1">
      <c r="A156" s="7" t="s">
        <v>153</v>
      </c>
      <c r="B156" s="8" t="s">
        <v>309</v>
      </c>
    </row>
    <row r="157" ht="18.0" customHeight="1">
      <c r="A157" s="9" t="s">
        <v>310</v>
      </c>
      <c r="B157" s="10" t="s">
        <v>311</v>
      </c>
    </row>
    <row r="158" ht="18.0" customHeight="1">
      <c r="A158" s="7" t="s">
        <v>312</v>
      </c>
      <c r="B158" s="8" t="s">
        <v>313</v>
      </c>
    </row>
    <row r="159" ht="18.0" customHeight="1">
      <c r="A159" s="9" t="s">
        <v>314</v>
      </c>
      <c r="B159" s="10" t="s">
        <v>315</v>
      </c>
    </row>
    <row r="160" ht="18.0" customHeight="1">
      <c r="A160" s="7" t="s">
        <v>164</v>
      </c>
      <c r="B160" s="8" t="s">
        <v>316</v>
      </c>
    </row>
    <row r="161" ht="18.0" customHeight="1">
      <c r="A161" s="9" t="s">
        <v>317</v>
      </c>
      <c r="B161" s="10" t="s">
        <v>318</v>
      </c>
    </row>
    <row r="162" ht="18.0" customHeight="1">
      <c r="A162" s="7" t="s">
        <v>319</v>
      </c>
      <c r="B162" s="8" t="s">
        <v>320</v>
      </c>
    </row>
    <row r="163" ht="18.0" customHeight="1">
      <c r="A163" s="9" t="s">
        <v>321</v>
      </c>
      <c r="B163" s="10" t="s">
        <v>322</v>
      </c>
    </row>
    <row r="164" ht="18.0" customHeight="1">
      <c r="A164" s="7" t="s">
        <v>65</v>
      </c>
      <c r="B164" s="8" t="s">
        <v>175</v>
      </c>
    </row>
    <row r="165" ht="18.0" customHeight="1">
      <c r="A165" s="9" t="s">
        <v>69</v>
      </c>
      <c r="B165" s="10" t="s">
        <v>323</v>
      </c>
    </row>
    <row r="166" ht="18.0" customHeight="1">
      <c r="A166" s="7" t="s">
        <v>72</v>
      </c>
      <c r="B166" s="8" t="s">
        <v>324</v>
      </c>
    </row>
    <row r="167" ht="18.0" customHeight="1">
      <c r="A167" s="9" t="s">
        <v>76</v>
      </c>
      <c r="B167" s="10" t="s">
        <v>325</v>
      </c>
    </row>
    <row r="168" ht="18.0" customHeight="1">
      <c r="A168" s="7" t="s">
        <v>79</v>
      </c>
      <c r="B168" s="8" t="s">
        <v>326</v>
      </c>
    </row>
    <row r="169" ht="18.0" customHeight="1">
      <c r="A169" s="9" t="s">
        <v>83</v>
      </c>
      <c r="B169" s="10" t="s">
        <v>327</v>
      </c>
    </row>
    <row r="170" ht="15.75" customHeight="1"/>
    <row r="171" ht="19.5" customHeight="1">
      <c r="A171" s="5" t="s">
        <v>328</v>
      </c>
      <c r="B171" s="3"/>
    </row>
    <row r="172" ht="18.0" customHeight="1">
      <c r="A172" s="7" t="s">
        <v>16</v>
      </c>
      <c r="B172" s="8" t="s">
        <v>329</v>
      </c>
    </row>
    <row r="173" ht="18.0" customHeight="1">
      <c r="A173" s="9" t="s">
        <v>24</v>
      </c>
      <c r="B173" s="10" t="s">
        <v>30</v>
      </c>
    </row>
    <row r="174" ht="18.0" customHeight="1">
      <c r="A174" s="7" t="s">
        <v>153</v>
      </c>
      <c r="B174" s="8" t="s">
        <v>330</v>
      </c>
    </row>
    <row r="175" ht="18.0" customHeight="1">
      <c r="A175" s="9" t="s">
        <v>331</v>
      </c>
      <c r="B175" s="10" t="s">
        <v>332</v>
      </c>
    </row>
    <row r="176" ht="18.0" customHeight="1">
      <c r="A176" s="7" t="s">
        <v>333</v>
      </c>
      <c r="B176" s="8" t="s">
        <v>334</v>
      </c>
    </row>
    <row r="177" ht="18.0" customHeight="1">
      <c r="A177" s="9" t="s">
        <v>335</v>
      </c>
      <c r="B177" s="10" t="s">
        <v>336</v>
      </c>
    </row>
    <row r="178" ht="18.0" customHeight="1">
      <c r="A178" s="7" t="s">
        <v>164</v>
      </c>
      <c r="B178" s="8" t="s">
        <v>337</v>
      </c>
    </row>
    <row r="179" ht="18.0" customHeight="1">
      <c r="A179" s="9" t="s">
        <v>338</v>
      </c>
      <c r="B179" s="10" t="s">
        <v>339</v>
      </c>
    </row>
    <row r="180" ht="18.0" customHeight="1">
      <c r="A180" s="7" t="s">
        <v>340</v>
      </c>
      <c r="B180" s="8" t="s">
        <v>341</v>
      </c>
    </row>
    <row r="181" ht="18.0" customHeight="1">
      <c r="A181" s="9" t="s">
        <v>342</v>
      </c>
      <c r="B181" s="10" t="s">
        <v>343</v>
      </c>
    </row>
    <row r="182" ht="18.0" customHeight="1">
      <c r="A182" s="7" t="s">
        <v>65</v>
      </c>
      <c r="B182" s="8" t="s">
        <v>175</v>
      </c>
    </row>
    <row r="183" ht="18.0" customHeight="1">
      <c r="A183" s="9" t="s">
        <v>69</v>
      </c>
      <c r="B183" s="10" t="s">
        <v>344</v>
      </c>
    </row>
    <row r="184" ht="18.0" customHeight="1">
      <c r="A184" s="7" t="s">
        <v>72</v>
      </c>
      <c r="B184" s="8" t="s">
        <v>345</v>
      </c>
    </row>
    <row r="185" ht="18.0" customHeight="1">
      <c r="A185" s="9" t="s">
        <v>76</v>
      </c>
      <c r="B185" s="10" t="s">
        <v>346</v>
      </c>
    </row>
    <row r="186" ht="18.0" customHeight="1">
      <c r="A186" s="7" t="s">
        <v>79</v>
      </c>
      <c r="B186" s="8" t="s">
        <v>347</v>
      </c>
    </row>
    <row r="187" ht="18.0" customHeight="1">
      <c r="A187" s="9" t="s">
        <v>83</v>
      </c>
      <c r="B187" s="10" t="s">
        <v>348</v>
      </c>
    </row>
    <row r="188" ht="15.75" customHeight="1"/>
    <row r="189" ht="19.5" customHeight="1">
      <c r="A189" s="5" t="s">
        <v>349</v>
      </c>
      <c r="B189" s="3"/>
    </row>
    <row r="190" ht="18.0" customHeight="1">
      <c r="A190" s="7" t="s">
        <v>16</v>
      </c>
      <c r="B190" s="8" t="s">
        <v>350</v>
      </c>
    </row>
    <row r="191" ht="18.0" customHeight="1">
      <c r="A191" s="9" t="s">
        <v>24</v>
      </c>
      <c r="B191" s="10" t="s">
        <v>30</v>
      </c>
    </row>
    <row r="192" ht="18.0" customHeight="1">
      <c r="A192" s="7" t="s">
        <v>153</v>
      </c>
      <c r="B192" s="8" t="s">
        <v>351</v>
      </c>
    </row>
    <row r="193" ht="18.0" customHeight="1">
      <c r="A193" s="9" t="s">
        <v>352</v>
      </c>
      <c r="B193" s="10" t="s">
        <v>353</v>
      </c>
    </row>
    <row r="194" ht="18.0" customHeight="1">
      <c r="A194" s="7" t="s">
        <v>354</v>
      </c>
      <c r="B194" s="8" t="s">
        <v>355</v>
      </c>
    </row>
    <row r="195" ht="18.0" customHeight="1">
      <c r="A195" s="9" t="s">
        <v>356</v>
      </c>
      <c r="B195" s="10" t="s">
        <v>357</v>
      </c>
    </row>
    <row r="196" ht="18.0" customHeight="1">
      <c r="A196" s="7" t="s">
        <v>65</v>
      </c>
      <c r="B196" s="8" t="s">
        <v>67</v>
      </c>
    </row>
    <row r="197" ht="18.0" customHeight="1">
      <c r="A197" s="9" t="s">
        <v>69</v>
      </c>
      <c r="B197" s="10" t="s">
        <v>358</v>
      </c>
    </row>
    <row r="198" ht="18.0" customHeight="1">
      <c r="A198" s="7" t="s">
        <v>72</v>
      </c>
      <c r="B198" s="8" t="s">
        <v>359</v>
      </c>
    </row>
    <row r="199" ht="18.0" customHeight="1">
      <c r="A199" s="9" t="s">
        <v>76</v>
      </c>
      <c r="B199" s="10" t="s">
        <v>360</v>
      </c>
    </row>
    <row r="200" ht="18.0" customHeight="1">
      <c r="A200" s="7" t="s">
        <v>79</v>
      </c>
      <c r="B200" s="8" t="s">
        <v>361</v>
      </c>
    </row>
    <row r="201" ht="18.0" customHeight="1">
      <c r="A201" s="9" t="s">
        <v>83</v>
      </c>
      <c r="B201" s="10" t="s">
        <v>362</v>
      </c>
    </row>
    <row r="202" ht="15.75" customHeight="1"/>
    <row r="203" ht="19.5" customHeight="1">
      <c r="A203" s="5" t="s">
        <v>363</v>
      </c>
      <c r="B203" s="3"/>
    </row>
    <row r="204" ht="18.0" customHeight="1">
      <c r="A204" s="7" t="s">
        <v>16</v>
      </c>
      <c r="B204" s="8" t="s">
        <v>364</v>
      </c>
    </row>
    <row r="205" ht="18.0" customHeight="1">
      <c r="A205" s="9" t="s">
        <v>24</v>
      </c>
      <c r="B205" s="10" t="s">
        <v>30</v>
      </c>
    </row>
    <row r="206" ht="18.0" customHeight="1">
      <c r="A206" s="7" t="s">
        <v>153</v>
      </c>
      <c r="B206" s="8" t="s">
        <v>365</v>
      </c>
    </row>
    <row r="207" ht="18.0" customHeight="1">
      <c r="A207" s="9" t="s">
        <v>366</v>
      </c>
      <c r="B207" s="10" t="s">
        <v>367</v>
      </c>
    </row>
    <row r="208" ht="18.0" customHeight="1">
      <c r="A208" s="7" t="s">
        <v>368</v>
      </c>
      <c r="B208" s="8" t="s">
        <v>369</v>
      </c>
    </row>
    <row r="209" ht="18.0" customHeight="1">
      <c r="A209" s="9" t="s">
        <v>370</v>
      </c>
      <c r="B209" s="10" t="s">
        <v>371</v>
      </c>
    </row>
    <row r="210" ht="18.0" customHeight="1">
      <c r="A210" s="7" t="s">
        <v>65</v>
      </c>
      <c r="B210" s="8" t="s">
        <v>67</v>
      </c>
    </row>
    <row r="211" ht="18.0" customHeight="1">
      <c r="A211" s="9" t="s">
        <v>69</v>
      </c>
      <c r="B211" s="10" t="s">
        <v>372</v>
      </c>
    </row>
    <row r="212" ht="18.0" customHeight="1">
      <c r="A212" s="7" t="s">
        <v>72</v>
      </c>
      <c r="B212" s="8" t="s">
        <v>111</v>
      </c>
    </row>
    <row r="213" ht="18.0" customHeight="1">
      <c r="A213" s="9" t="s">
        <v>76</v>
      </c>
      <c r="B213" s="10" t="s">
        <v>373</v>
      </c>
    </row>
    <row r="214" ht="18.0" customHeight="1">
      <c r="A214" s="7" t="s">
        <v>79</v>
      </c>
      <c r="B214" s="8" t="s">
        <v>374</v>
      </c>
    </row>
    <row r="215" ht="18.0" customHeight="1">
      <c r="A215" s="9" t="s">
        <v>83</v>
      </c>
      <c r="B215" s="10" t="s">
        <v>375</v>
      </c>
    </row>
    <row r="216" ht="15.75" customHeight="1"/>
    <row r="217" ht="19.5" customHeight="1">
      <c r="A217" s="5" t="s">
        <v>376</v>
      </c>
      <c r="B217" s="3"/>
    </row>
    <row r="218" ht="18.0" customHeight="1">
      <c r="A218" s="7" t="s">
        <v>16</v>
      </c>
      <c r="B218" s="8" t="s">
        <v>377</v>
      </c>
    </row>
    <row r="219" ht="18.0" customHeight="1">
      <c r="A219" s="9" t="s">
        <v>24</v>
      </c>
      <c r="B219" s="10" t="s">
        <v>30</v>
      </c>
    </row>
    <row r="220" ht="18.0" customHeight="1">
      <c r="A220" s="7" t="s">
        <v>153</v>
      </c>
      <c r="B220" s="8" t="s">
        <v>378</v>
      </c>
    </row>
    <row r="221" ht="18.0" customHeight="1">
      <c r="A221" s="9" t="s">
        <v>379</v>
      </c>
      <c r="B221" s="10" t="s">
        <v>380</v>
      </c>
    </row>
    <row r="222" ht="18.0" customHeight="1">
      <c r="A222" s="7" t="s">
        <v>381</v>
      </c>
      <c r="B222" s="8" t="s">
        <v>382</v>
      </c>
    </row>
    <row r="223" ht="18.0" customHeight="1">
      <c r="A223" s="9" t="s">
        <v>383</v>
      </c>
      <c r="B223" s="10" t="s">
        <v>384</v>
      </c>
    </row>
    <row r="224" ht="18.0" customHeight="1">
      <c r="A224" s="7" t="s">
        <v>164</v>
      </c>
      <c r="B224" s="8" t="s">
        <v>385</v>
      </c>
    </row>
    <row r="225" ht="18.0" customHeight="1">
      <c r="A225" s="9" t="s">
        <v>386</v>
      </c>
      <c r="B225" s="10" t="s">
        <v>387</v>
      </c>
    </row>
    <row r="226" ht="18.0" customHeight="1">
      <c r="A226" s="7" t="s">
        <v>388</v>
      </c>
      <c r="B226" s="8" t="s">
        <v>389</v>
      </c>
    </row>
    <row r="227" ht="18.0" customHeight="1">
      <c r="A227" s="9" t="s">
        <v>390</v>
      </c>
      <c r="B227" s="10" t="s">
        <v>391</v>
      </c>
    </row>
    <row r="228" ht="18.0" customHeight="1">
      <c r="A228" s="7" t="s">
        <v>65</v>
      </c>
      <c r="B228" s="8" t="s">
        <v>175</v>
      </c>
    </row>
    <row r="229" ht="18.0" customHeight="1">
      <c r="A229" s="9" t="s">
        <v>69</v>
      </c>
      <c r="B229" s="10" t="s">
        <v>344</v>
      </c>
    </row>
    <row r="230" ht="18.0" customHeight="1">
      <c r="A230" s="7" t="s">
        <v>72</v>
      </c>
      <c r="B230" s="8" t="s">
        <v>345</v>
      </c>
    </row>
    <row r="231" ht="18.0" customHeight="1">
      <c r="A231" s="9" t="s">
        <v>76</v>
      </c>
      <c r="B231" s="10" t="s">
        <v>346</v>
      </c>
    </row>
    <row r="232" ht="18.0" customHeight="1">
      <c r="A232" s="7" t="s">
        <v>79</v>
      </c>
      <c r="B232" s="8" t="s">
        <v>347</v>
      </c>
    </row>
    <row r="233" ht="18.0" customHeight="1">
      <c r="A233" s="9" t="s">
        <v>83</v>
      </c>
      <c r="B233" s="10" t="s">
        <v>348</v>
      </c>
    </row>
    <row r="234" ht="15.75" customHeight="1"/>
    <row r="235" ht="19.5" customHeight="1">
      <c r="A235" s="5" t="s">
        <v>392</v>
      </c>
      <c r="B235" s="3"/>
    </row>
    <row r="236" ht="18.0" customHeight="1">
      <c r="A236" s="7" t="s">
        <v>16</v>
      </c>
      <c r="B236" s="8" t="s">
        <v>393</v>
      </c>
    </row>
    <row r="237" ht="18.0" customHeight="1">
      <c r="A237" s="9" t="s">
        <v>24</v>
      </c>
      <c r="B237" s="10" t="s">
        <v>30</v>
      </c>
    </row>
    <row r="238" ht="18.0" customHeight="1">
      <c r="A238" s="7" t="s">
        <v>153</v>
      </c>
      <c r="B238" s="8" t="s">
        <v>394</v>
      </c>
    </row>
    <row r="239" ht="18.0" customHeight="1">
      <c r="A239" s="9" t="s">
        <v>395</v>
      </c>
      <c r="B239" s="10" t="s">
        <v>396</v>
      </c>
    </row>
    <row r="240" ht="18.0" customHeight="1">
      <c r="A240" s="7" t="s">
        <v>397</v>
      </c>
      <c r="B240" s="8" t="s">
        <v>398</v>
      </c>
    </row>
    <row r="241" ht="18.0" customHeight="1">
      <c r="A241" s="9" t="s">
        <v>399</v>
      </c>
      <c r="B241" s="10" t="s">
        <v>400</v>
      </c>
    </row>
    <row r="242" ht="18.0" customHeight="1">
      <c r="A242" s="7" t="s">
        <v>164</v>
      </c>
      <c r="B242" s="8" t="s">
        <v>401</v>
      </c>
    </row>
    <row r="243" ht="18.0" customHeight="1">
      <c r="A243" s="9" t="s">
        <v>402</v>
      </c>
      <c r="B243" s="10" t="s">
        <v>403</v>
      </c>
    </row>
    <row r="244" ht="18.0" customHeight="1">
      <c r="A244" s="7" t="s">
        <v>404</v>
      </c>
      <c r="B244" s="8" t="s">
        <v>405</v>
      </c>
    </row>
    <row r="245" ht="18.0" customHeight="1">
      <c r="A245" s="9" t="s">
        <v>406</v>
      </c>
      <c r="B245" s="10" t="s">
        <v>407</v>
      </c>
    </row>
    <row r="246" ht="18.0" customHeight="1">
      <c r="A246" s="7" t="s">
        <v>65</v>
      </c>
      <c r="B246" s="8" t="s">
        <v>175</v>
      </c>
    </row>
    <row r="247" ht="18.0" customHeight="1">
      <c r="A247" s="9" t="s">
        <v>69</v>
      </c>
      <c r="B247" s="10" t="s">
        <v>344</v>
      </c>
    </row>
    <row r="248" ht="18.0" customHeight="1">
      <c r="A248" s="7" t="s">
        <v>72</v>
      </c>
      <c r="B248" s="8" t="s">
        <v>345</v>
      </c>
    </row>
    <row r="249" ht="18.0" customHeight="1">
      <c r="A249" s="9" t="s">
        <v>76</v>
      </c>
      <c r="B249" s="10" t="s">
        <v>346</v>
      </c>
    </row>
    <row r="250" ht="18.0" customHeight="1">
      <c r="A250" s="7" t="s">
        <v>79</v>
      </c>
      <c r="B250" s="8" t="s">
        <v>347</v>
      </c>
    </row>
    <row r="251" ht="18.0" customHeight="1">
      <c r="A251" s="9" t="s">
        <v>83</v>
      </c>
      <c r="B251" s="10" t="s">
        <v>348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B1"/>
    <mergeCell ref="A3:B3"/>
    <mergeCell ref="A17:B17"/>
    <mergeCell ref="A31:B31"/>
    <mergeCell ref="A45:B45"/>
    <mergeCell ref="A63:B63"/>
    <mergeCell ref="A81:B81"/>
    <mergeCell ref="A217:B217"/>
    <mergeCell ref="A235:B235"/>
    <mergeCell ref="A99:B99"/>
    <mergeCell ref="A117:B117"/>
    <mergeCell ref="A135:B135"/>
    <mergeCell ref="A153:B153"/>
    <mergeCell ref="A171:B171"/>
    <mergeCell ref="A189:B189"/>
    <mergeCell ref="A203:B20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</v>
      </c>
      <c r="B1" s="3"/>
    </row>
    <row r="3" ht="19.5" customHeight="1">
      <c r="A3" s="5" t="s">
        <v>8</v>
      </c>
      <c r="B3" s="3"/>
    </row>
    <row r="4" ht="18.0" customHeight="1">
      <c r="A4" s="7" t="s">
        <v>13</v>
      </c>
      <c r="B4" s="8" t="s">
        <v>20</v>
      </c>
    </row>
    <row r="5" ht="18.0" customHeight="1">
      <c r="A5" s="9" t="s">
        <v>25</v>
      </c>
      <c r="B5" s="10" t="s">
        <v>29</v>
      </c>
    </row>
    <row r="6" ht="18.0" customHeight="1">
      <c r="A6" s="7" t="s">
        <v>35</v>
      </c>
      <c r="B6" s="8" t="s">
        <v>36</v>
      </c>
    </row>
    <row r="7" ht="18.0" customHeight="1">
      <c r="A7" s="9" t="s">
        <v>39</v>
      </c>
      <c r="B7" s="10" t="s">
        <v>42</v>
      </c>
    </row>
    <row r="8" ht="18.0" customHeight="1">
      <c r="A8" s="7" t="s">
        <v>45</v>
      </c>
      <c r="B8" s="8" t="s">
        <v>48</v>
      </c>
    </row>
    <row r="9" ht="18.0" customHeight="1">
      <c r="A9" s="9" t="s">
        <v>53</v>
      </c>
      <c r="B9" s="10" t="s">
        <v>54</v>
      </c>
    </row>
    <row r="10" ht="18.0" customHeight="1">
      <c r="A10" s="7" t="s">
        <v>55</v>
      </c>
      <c r="B10" s="8" t="s">
        <v>57</v>
      </c>
    </row>
    <row r="11" ht="18.0" customHeight="1">
      <c r="A11" s="9" t="s">
        <v>59</v>
      </c>
      <c r="B11" s="10" t="s">
        <v>60</v>
      </c>
    </row>
    <row r="13" ht="19.5" customHeight="1">
      <c r="A13" s="5" t="s">
        <v>63</v>
      </c>
      <c r="B13" s="3"/>
    </row>
    <row r="14" ht="18.0" customHeight="1">
      <c r="A14" s="7" t="s">
        <v>13</v>
      </c>
      <c r="B14" s="8" t="s">
        <v>71</v>
      </c>
    </row>
    <row r="15" ht="18.0" customHeight="1">
      <c r="A15" s="9" t="s">
        <v>25</v>
      </c>
      <c r="B15" s="10" t="s">
        <v>29</v>
      </c>
    </row>
    <row r="16" ht="18.0" customHeight="1">
      <c r="A16" s="7" t="s">
        <v>35</v>
      </c>
      <c r="B16" s="8" t="s">
        <v>36</v>
      </c>
    </row>
    <row r="17" ht="18.0" customHeight="1">
      <c r="A17" s="9" t="s">
        <v>81</v>
      </c>
      <c r="B17" s="10" t="s">
        <v>84</v>
      </c>
    </row>
    <row r="18" ht="18.0" customHeight="1">
      <c r="A18" s="7" t="s">
        <v>87</v>
      </c>
      <c r="B18" s="8" t="s">
        <v>42</v>
      </c>
    </row>
    <row r="19" ht="18.0" customHeight="1">
      <c r="A19" s="9" t="s">
        <v>53</v>
      </c>
      <c r="B19" s="10" t="s">
        <v>90</v>
      </c>
    </row>
    <row r="20" ht="18.0" customHeight="1">
      <c r="A20" s="7" t="s">
        <v>55</v>
      </c>
      <c r="B20" s="8" t="s">
        <v>102</v>
      </c>
    </row>
    <row r="21" ht="18.0" customHeight="1">
      <c r="A21" s="9" t="s">
        <v>59</v>
      </c>
      <c r="B21" s="10" t="s">
        <v>106</v>
      </c>
    </row>
    <row r="22" ht="15.75" customHeight="1"/>
    <row r="23" ht="19.5" customHeight="1">
      <c r="A23" s="5" t="s">
        <v>108</v>
      </c>
      <c r="B23" s="3"/>
    </row>
    <row r="24" ht="18.0" customHeight="1">
      <c r="A24" s="7" t="s">
        <v>13</v>
      </c>
      <c r="B24" s="8" t="s">
        <v>115</v>
      </c>
    </row>
    <row r="25" ht="18.0" customHeight="1">
      <c r="A25" s="9" t="s">
        <v>25</v>
      </c>
      <c r="B25" s="10" t="s">
        <v>29</v>
      </c>
    </row>
    <row r="26" ht="18.0" customHeight="1">
      <c r="A26" s="7" t="s">
        <v>35</v>
      </c>
      <c r="B26" s="8" t="s">
        <v>36</v>
      </c>
    </row>
    <row r="27" ht="18.0" customHeight="1">
      <c r="A27" s="9" t="s">
        <v>39</v>
      </c>
      <c r="B27" s="10" t="s">
        <v>42</v>
      </c>
    </row>
    <row r="28" ht="18.0" customHeight="1">
      <c r="A28" s="7" t="s">
        <v>123</v>
      </c>
      <c r="B28" s="8" t="s">
        <v>48</v>
      </c>
    </row>
    <row r="29" ht="18.0" customHeight="1">
      <c r="A29" s="9" t="s">
        <v>53</v>
      </c>
      <c r="B29" s="10" t="s">
        <v>125</v>
      </c>
    </row>
    <row r="30" ht="18.0" customHeight="1">
      <c r="A30" s="7" t="s">
        <v>55</v>
      </c>
      <c r="B30" s="8" t="s">
        <v>127</v>
      </c>
    </row>
    <row r="31" ht="18.0" customHeight="1">
      <c r="A31" s="9" t="s">
        <v>59</v>
      </c>
      <c r="B31" s="10" t="s">
        <v>130</v>
      </c>
    </row>
    <row r="32" ht="15.75" customHeight="1"/>
    <row r="33" ht="19.5" customHeight="1">
      <c r="A33" s="5" t="s">
        <v>132</v>
      </c>
      <c r="B33" s="3"/>
    </row>
    <row r="34" ht="18.0" customHeight="1">
      <c r="A34" s="7" t="s">
        <v>13</v>
      </c>
      <c r="B34" s="8" t="s">
        <v>135</v>
      </c>
    </row>
    <row r="35" ht="18.0" customHeight="1">
      <c r="A35" s="9" t="s">
        <v>25</v>
      </c>
      <c r="B35" s="10" t="s">
        <v>29</v>
      </c>
    </row>
    <row r="36" ht="18.0" customHeight="1">
      <c r="A36" s="7" t="s">
        <v>35</v>
      </c>
      <c r="B36" s="8" t="s">
        <v>36</v>
      </c>
    </row>
    <row r="37" ht="18.0" customHeight="1">
      <c r="A37" s="9" t="s">
        <v>81</v>
      </c>
      <c r="B37" s="10" t="s">
        <v>138</v>
      </c>
    </row>
    <row r="38" ht="18.0" customHeight="1">
      <c r="A38" s="7" t="s">
        <v>139</v>
      </c>
      <c r="B38" s="8" t="s">
        <v>141</v>
      </c>
    </row>
    <row r="39" ht="18.0" customHeight="1">
      <c r="A39" s="9" t="s">
        <v>53</v>
      </c>
      <c r="B39" s="10" t="s">
        <v>143</v>
      </c>
    </row>
    <row r="40" ht="18.0" customHeight="1">
      <c r="A40" s="7" t="s">
        <v>55</v>
      </c>
      <c r="B40" s="8" t="s">
        <v>145</v>
      </c>
    </row>
    <row r="41" ht="18.0" customHeight="1">
      <c r="A41" s="9" t="s">
        <v>59</v>
      </c>
      <c r="B41" s="10" t="s">
        <v>147</v>
      </c>
    </row>
    <row r="42" ht="15.75" customHeight="1"/>
    <row r="43" ht="19.5" customHeight="1">
      <c r="A43" s="5" t="s">
        <v>149</v>
      </c>
      <c r="B43" s="3"/>
    </row>
    <row r="44" ht="18.0" customHeight="1">
      <c r="A44" s="7" t="s">
        <v>13</v>
      </c>
      <c r="B44" s="8" t="s">
        <v>151</v>
      </c>
    </row>
    <row r="45" ht="18.0" customHeight="1">
      <c r="A45" s="9" t="s">
        <v>25</v>
      </c>
      <c r="B45" s="10" t="s">
        <v>29</v>
      </c>
    </row>
    <row r="46" ht="18.0" customHeight="1">
      <c r="A46" s="7" t="s">
        <v>35</v>
      </c>
      <c r="B46" s="8" t="s">
        <v>36</v>
      </c>
    </row>
    <row r="47" ht="18.0" customHeight="1">
      <c r="A47" s="9" t="s">
        <v>39</v>
      </c>
      <c r="B47" s="10" t="s">
        <v>42</v>
      </c>
    </row>
    <row r="48" ht="18.0" customHeight="1">
      <c r="A48" s="7" t="s">
        <v>157</v>
      </c>
      <c r="B48" s="8" t="s">
        <v>158</v>
      </c>
    </row>
    <row r="49" ht="18.0" customHeight="1">
      <c r="A49" s="9" t="s">
        <v>53</v>
      </c>
      <c r="B49" s="10" t="s">
        <v>162</v>
      </c>
    </row>
    <row r="50" ht="18.0" customHeight="1">
      <c r="A50" s="7" t="s">
        <v>55</v>
      </c>
      <c r="B50" s="8" t="s">
        <v>165</v>
      </c>
    </row>
    <row r="51" ht="18.0" customHeight="1">
      <c r="A51" s="9" t="s">
        <v>59</v>
      </c>
      <c r="B51" s="10" t="s">
        <v>169</v>
      </c>
    </row>
    <row r="52" ht="15.75" customHeight="1"/>
    <row r="53" ht="19.5" customHeight="1">
      <c r="A53" s="5" t="s">
        <v>172</v>
      </c>
      <c r="B53" s="3"/>
    </row>
    <row r="54" ht="18.0" customHeight="1">
      <c r="A54" s="7" t="s">
        <v>13</v>
      </c>
      <c r="B54" s="8" t="s">
        <v>176</v>
      </c>
    </row>
    <row r="55" ht="18.0" customHeight="1">
      <c r="A55" s="9" t="s">
        <v>25</v>
      </c>
      <c r="B55" s="10" t="s">
        <v>29</v>
      </c>
    </row>
    <row r="56" ht="18.0" customHeight="1">
      <c r="A56" s="7" t="s">
        <v>35</v>
      </c>
      <c r="B56" s="8" t="s">
        <v>36</v>
      </c>
    </row>
    <row r="57" ht="18.0" customHeight="1">
      <c r="A57" s="9" t="s">
        <v>180</v>
      </c>
      <c r="B57" s="10" t="s">
        <v>48</v>
      </c>
    </row>
    <row r="58" ht="18.0" customHeight="1">
      <c r="A58" s="7" t="s">
        <v>139</v>
      </c>
      <c r="B58" s="8" t="s">
        <v>141</v>
      </c>
    </row>
    <row r="59" ht="18.0" customHeight="1">
      <c r="A59" s="9" t="s">
        <v>53</v>
      </c>
      <c r="B59" s="10" t="s">
        <v>183</v>
      </c>
    </row>
    <row r="60" ht="18.0" customHeight="1">
      <c r="A60" s="7" t="s">
        <v>55</v>
      </c>
      <c r="B60" s="8" t="s">
        <v>185</v>
      </c>
    </row>
    <row r="61" ht="18.0" customHeight="1">
      <c r="A61" s="9" t="s">
        <v>59</v>
      </c>
      <c r="B61" s="10" t="s">
        <v>186</v>
      </c>
    </row>
    <row r="62" ht="15.75" customHeight="1"/>
    <row r="63" ht="19.5" customHeight="1">
      <c r="A63" s="5" t="s">
        <v>187</v>
      </c>
      <c r="B63" s="3"/>
    </row>
    <row r="64" ht="18.0" customHeight="1">
      <c r="A64" s="7" t="s">
        <v>13</v>
      </c>
      <c r="B64" s="8" t="s">
        <v>190</v>
      </c>
    </row>
    <row r="65" ht="18.0" customHeight="1">
      <c r="A65" s="9" t="s">
        <v>25</v>
      </c>
      <c r="B65" s="10" t="s">
        <v>29</v>
      </c>
    </row>
    <row r="66" ht="18.0" customHeight="1">
      <c r="A66" s="7" t="s">
        <v>35</v>
      </c>
      <c r="B66" s="8" t="s">
        <v>36</v>
      </c>
    </row>
    <row r="67" ht="18.0" customHeight="1">
      <c r="A67" s="9" t="s">
        <v>87</v>
      </c>
      <c r="B67" s="10" t="s">
        <v>138</v>
      </c>
    </row>
    <row r="68" ht="18.0" customHeight="1">
      <c r="A68" s="7" t="s">
        <v>197</v>
      </c>
      <c r="B68" s="8" t="s">
        <v>42</v>
      </c>
    </row>
    <row r="69" ht="18.0" customHeight="1">
      <c r="A69" s="9" t="s">
        <v>53</v>
      </c>
      <c r="B69" s="10" t="s">
        <v>201</v>
      </c>
    </row>
    <row r="70" ht="18.0" customHeight="1">
      <c r="A70" s="7" t="s">
        <v>55</v>
      </c>
      <c r="B70" s="8" t="s">
        <v>206</v>
      </c>
    </row>
    <row r="71" ht="18.0" customHeight="1">
      <c r="A71" s="9" t="s">
        <v>59</v>
      </c>
      <c r="B71" s="10" t="s">
        <v>208</v>
      </c>
    </row>
    <row r="72" ht="15.75" customHeight="1"/>
    <row r="73" ht="19.5" customHeight="1">
      <c r="A73" s="5" t="s">
        <v>210</v>
      </c>
      <c r="B73" s="3"/>
    </row>
    <row r="74" ht="18.0" customHeight="1">
      <c r="A74" s="7" t="s">
        <v>13</v>
      </c>
      <c r="B74" s="8" t="s">
        <v>215</v>
      </c>
    </row>
    <row r="75" ht="18.0" customHeight="1">
      <c r="A75" s="9" t="s">
        <v>25</v>
      </c>
      <c r="B75" s="10" t="s">
        <v>29</v>
      </c>
    </row>
    <row r="76" ht="18.0" customHeight="1">
      <c r="A76" s="7" t="s">
        <v>35</v>
      </c>
      <c r="B76" s="8" t="s">
        <v>36</v>
      </c>
    </row>
    <row r="77" ht="18.0" customHeight="1">
      <c r="A77" s="9" t="s">
        <v>87</v>
      </c>
      <c r="B77" s="10" t="s">
        <v>84</v>
      </c>
    </row>
    <row r="78" ht="18.0" customHeight="1">
      <c r="A78" s="7" t="s">
        <v>180</v>
      </c>
      <c r="B78" s="8" t="s">
        <v>216</v>
      </c>
    </row>
    <row r="79" ht="18.0" customHeight="1">
      <c r="A79" s="9" t="s">
        <v>53</v>
      </c>
      <c r="B79" s="10" t="s">
        <v>218</v>
      </c>
    </row>
    <row r="80" ht="18.0" customHeight="1">
      <c r="A80" s="7" t="s">
        <v>55</v>
      </c>
      <c r="B80" s="8" t="s">
        <v>219</v>
      </c>
    </row>
    <row r="81" ht="18.0" customHeight="1">
      <c r="A81" s="9" t="s">
        <v>59</v>
      </c>
      <c r="B81" s="10" t="s">
        <v>222</v>
      </c>
    </row>
    <row r="82" ht="15.75" customHeight="1"/>
    <row r="83" ht="19.5" customHeight="1">
      <c r="A83" s="5" t="s">
        <v>225</v>
      </c>
      <c r="B83" s="3"/>
    </row>
    <row r="84" ht="18.0" customHeight="1">
      <c r="A84" s="7" t="s">
        <v>13</v>
      </c>
      <c r="B84" s="8" t="s">
        <v>235</v>
      </c>
    </row>
    <row r="85" ht="18.0" customHeight="1">
      <c r="A85" s="9" t="s">
        <v>25</v>
      </c>
      <c r="B85" s="10" t="s">
        <v>29</v>
      </c>
    </row>
    <row r="86" ht="18.0" customHeight="1">
      <c r="A86" s="7" t="s">
        <v>35</v>
      </c>
      <c r="B86" s="8" t="s">
        <v>36</v>
      </c>
    </row>
    <row r="87" ht="18.0" customHeight="1">
      <c r="A87" s="9" t="s">
        <v>45</v>
      </c>
      <c r="B87" s="10" t="s">
        <v>48</v>
      </c>
    </row>
    <row r="88" ht="18.0" customHeight="1">
      <c r="A88" s="7" t="s">
        <v>123</v>
      </c>
      <c r="B88" s="8" t="s">
        <v>48</v>
      </c>
    </row>
    <row r="89" ht="18.0" customHeight="1">
      <c r="A89" s="9" t="s">
        <v>53</v>
      </c>
      <c r="B89" s="10" t="s">
        <v>242</v>
      </c>
    </row>
    <row r="90" ht="18.0" customHeight="1">
      <c r="A90" s="7" t="s">
        <v>55</v>
      </c>
      <c r="B90" s="8" t="s">
        <v>244</v>
      </c>
    </row>
    <row r="91" ht="18.0" customHeight="1">
      <c r="A91" s="9" t="s">
        <v>59</v>
      </c>
      <c r="B91" s="10" t="s">
        <v>245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3:B63"/>
    <mergeCell ref="A73:B73"/>
    <mergeCell ref="A83:B83"/>
    <mergeCell ref="A1:B1"/>
    <mergeCell ref="A3:B3"/>
    <mergeCell ref="A13:B13"/>
    <mergeCell ref="A23:B23"/>
    <mergeCell ref="A33:B33"/>
    <mergeCell ref="A43:B43"/>
    <mergeCell ref="A53:B5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110.0"/>
    <col customWidth="1" min="3" max="3" width="215.57"/>
    <col customWidth="1" min="4" max="26" width="8.71"/>
  </cols>
  <sheetData>
    <row r="1" ht="15.75" customHeight="1">
      <c r="A1" s="2" t="s">
        <v>3</v>
      </c>
      <c r="B1" s="2" t="s">
        <v>4</v>
      </c>
      <c r="C1" s="2" t="s">
        <v>5</v>
      </c>
    </row>
    <row r="2" ht="19.5" customHeight="1">
      <c r="A2" s="4" t="s">
        <v>7</v>
      </c>
      <c r="B2" s="4" t="s">
        <v>10</v>
      </c>
      <c r="C2" s="4" t="s">
        <v>11</v>
      </c>
    </row>
    <row r="3" ht="18.0" customHeight="1">
      <c r="A3" s="4" t="s">
        <v>7</v>
      </c>
      <c r="B3" s="4" t="s">
        <v>12</v>
      </c>
      <c r="C3" s="4" t="s">
        <v>15</v>
      </c>
    </row>
    <row r="4" ht="18.0" customHeight="1">
      <c r="A4" s="4" t="s">
        <v>7</v>
      </c>
      <c r="B4" s="4" t="s">
        <v>17</v>
      </c>
      <c r="C4" s="4" t="s">
        <v>18</v>
      </c>
    </row>
    <row r="5" ht="18.0" customHeight="1">
      <c r="A5" s="4" t="s">
        <v>21</v>
      </c>
      <c r="B5" s="4" t="s">
        <v>22</v>
      </c>
      <c r="C5" s="4" t="s">
        <v>23</v>
      </c>
    </row>
    <row r="6" ht="15.75" customHeight="1">
      <c r="A6" s="4" t="s">
        <v>21</v>
      </c>
      <c r="B6" s="4" t="s">
        <v>26</v>
      </c>
      <c r="C6" s="4" t="s">
        <v>27</v>
      </c>
    </row>
    <row r="7" ht="15.75" customHeight="1">
      <c r="A7" s="4" t="s">
        <v>21</v>
      </c>
      <c r="B7" s="4" t="s">
        <v>28</v>
      </c>
      <c r="C7" s="4" t="s">
        <v>31</v>
      </c>
    </row>
    <row r="8" ht="15.75" customHeight="1">
      <c r="A8" s="4" t="s">
        <v>21</v>
      </c>
      <c r="B8" s="4" t="s">
        <v>32</v>
      </c>
      <c r="C8" s="4" t="s">
        <v>33</v>
      </c>
    </row>
    <row r="9" ht="15.75" customHeight="1">
      <c r="A9" s="4" t="s">
        <v>21</v>
      </c>
      <c r="B9" s="4" t="s">
        <v>38</v>
      </c>
      <c r="C9" s="4" t="s">
        <v>41</v>
      </c>
    </row>
    <row r="10" ht="15.75" customHeight="1">
      <c r="A10" s="4" t="s">
        <v>44</v>
      </c>
      <c r="B10" s="4" t="s">
        <v>49</v>
      </c>
      <c r="C10" s="4" t="s">
        <v>52</v>
      </c>
    </row>
    <row r="11" ht="15.75" customHeight="1">
      <c r="A11" s="4" t="s">
        <v>44</v>
      </c>
      <c r="B11" s="4" t="s">
        <v>56</v>
      </c>
      <c r="C11" s="4" t="s">
        <v>58</v>
      </c>
    </row>
    <row r="12" ht="15.75" customHeight="1">
      <c r="A12" s="4" t="s">
        <v>44</v>
      </c>
      <c r="B12" s="4" t="s">
        <v>61</v>
      </c>
      <c r="C12" s="4" t="s">
        <v>62</v>
      </c>
    </row>
    <row r="13" ht="15.75" customHeight="1">
      <c r="A13" s="4" t="s">
        <v>44</v>
      </c>
      <c r="B13" s="4" t="s">
        <v>66</v>
      </c>
      <c r="C13" s="4" t="s">
        <v>68</v>
      </c>
    </row>
    <row r="14" ht="15.75" customHeight="1">
      <c r="A14" s="4" t="s">
        <v>44</v>
      </c>
      <c r="B14" s="4" t="s">
        <v>74</v>
      </c>
      <c r="C14" s="4" t="s">
        <v>77</v>
      </c>
    </row>
    <row r="15" ht="15.75" customHeight="1">
      <c r="A15" s="4" t="s">
        <v>44</v>
      </c>
      <c r="B15" s="4" t="s">
        <v>82</v>
      </c>
      <c r="C15" s="4" t="s">
        <v>86</v>
      </c>
    </row>
    <row r="16" ht="15.75" customHeight="1">
      <c r="A16" s="4" t="s">
        <v>44</v>
      </c>
      <c r="B16" s="4" t="s">
        <v>89</v>
      </c>
      <c r="C16" s="4" t="s">
        <v>91</v>
      </c>
    </row>
    <row r="17" ht="15.75" customHeight="1">
      <c r="A17" s="4" t="s">
        <v>44</v>
      </c>
      <c r="B17" s="4" t="s">
        <v>93</v>
      </c>
      <c r="C17" s="4" t="s">
        <v>95</v>
      </c>
    </row>
    <row r="18" ht="15.75" customHeight="1">
      <c r="A18" s="4" t="s">
        <v>44</v>
      </c>
      <c r="B18" s="4" t="s">
        <v>97</v>
      </c>
      <c r="C18" s="4" t="s">
        <v>99</v>
      </c>
    </row>
    <row r="19" ht="15.75" customHeight="1">
      <c r="A19" s="4" t="s">
        <v>44</v>
      </c>
      <c r="B19" s="4" t="s">
        <v>101</v>
      </c>
      <c r="C19" s="4" t="s">
        <v>103</v>
      </c>
    </row>
    <row r="20" ht="15.75" customHeight="1">
      <c r="A20" s="4" t="s">
        <v>105</v>
      </c>
      <c r="B20" s="4" t="s">
        <v>107</v>
      </c>
      <c r="C20" s="4" t="s">
        <v>110</v>
      </c>
    </row>
    <row r="21" ht="15.75" customHeight="1">
      <c r="A21" s="4" t="s">
        <v>105</v>
      </c>
      <c r="B21" s="4" t="s">
        <v>112</v>
      </c>
      <c r="C21" s="4" t="s">
        <v>114</v>
      </c>
    </row>
    <row r="22" ht="15.75" customHeight="1">
      <c r="A22" s="4" t="s">
        <v>105</v>
      </c>
      <c r="B22" s="4" t="s">
        <v>117</v>
      </c>
      <c r="C22" s="4" t="s">
        <v>118</v>
      </c>
    </row>
    <row r="23" ht="15.75" customHeight="1">
      <c r="A23" s="4" t="s">
        <v>105</v>
      </c>
      <c r="B23" s="4" t="s">
        <v>120</v>
      </c>
      <c r="C23" s="4" t="s">
        <v>122</v>
      </c>
    </row>
    <row r="24" ht="15.75" customHeight="1">
      <c r="A24" s="4" t="s">
        <v>105</v>
      </c>
      <c r="B24" s="4" t="s">
        <v>124</v>
      </c>
      <c r="C24" s="4" t="s">
        <v>126</v>
      </c>
    </row>
    <row r="25" ht="15.75" customHeight="1">
      <c r="A25" s="4" t="s">
        <v>105</v>
      </c>
      <c r="B25" s="4" t="s">
        <v>129</v>
      </c>
      <c r="C25" s="4" t="s">
        <v>131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408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412</v>
      </c>
    </row>
    <row r="5" ht="18.0" customHeight="1">
      <c r="A5" s="17" t="s">
        <v>413</v>
      </c>
      <c r="B5" s="18" t="s">
        <v>414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426</v>
      </c>
    </row>
    <row r="11" ht="18.0" customHeight="1">
      <c r="A11" s="17" t="s">
        <v>428</v>
      </c>
      <c r="B11" s="18" t="s">
        <v>429</v>
      </c>
    </row>
    <row r="12" ht="18.0" customHeight="1">
      <c r="A12" s="15" t="s">
        <v>430</v>
      </c>
      <c r="B12" s="16" t="s">
        <v>432</v>
      </c>
    </row>
    <row r="13" ht="18.0" customHeight="1">
      <c r="A13" s="17" t="s">
        <v>433</v>
      </c>
      <c r="B13" s="18" t="s">
        <v>434</v>
      </c>
    </row>
    <row r="14" ht="18.0" customHeight="1">
      <c r="A14" s="15" t="s">
        <v>435</v>
      </c>
      <c r="B14" s="16" t="s">
        <v>436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90.0" customHeight="1">
      <c r="A18" s="15" t="s">
        <v>444</v>
      </c>
      <c r="B18" s="16" t="s">
        <v>446</v>
      </c>
    </row>
    <row r="19" ht="60.0" customHeight="1">
      <c r="A19" s="17" t="s">
        <v>448</v>
      </c>
      <c r="B19" s="18" t="s">
        <v>449</v>
      </c>
    </row>
    <row r="20" ht="60.0" customHeight="1">
      <c r="A20" s="15" t="s">
        <v>450</v>
      </c>
      <c r="B20" s="16" t="s">
        <v>451</v>
      </c>
    </row>
    <row r="21" ht="45.0" customHeight="1">
      <c r="A21" s="17" t="s">
        <v>452</v>
      </c>
      <c r="B21" s="18" t="s">
        <v>453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464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469</v>
      </c>
    </row>
    <row r="28" ht="18.0" customHeight="1">
      <c r="A28" s="15" t="s">
        <v>471</v>
      </c>
      <c r="B28" s="16" t="s">
        <v>472</v>
      </c>
    </row>
    <row r="29" ht="18.0" customHeight="1">
      <c r="A29" s="17" t="s">
        <v>473</v>
      </c>
      <c r="B29" s="18" t="s">
        <v>474</v>
      </c>
    </row>
    <row r="30" ht="18.0" customHeight="1">
      <c r="A30" s="15" t="s">
        <v>475</v>
      </c>
      <c r="B30" s="16" t="s">
        <v>476</v>
      </c>
    </row>
    <row r="31" ht="18.0" customHeight="1">
      <c r="A31" s="17" t="s">
        <v>477</v>
      </c>
      <c r="B31" s="18" t="s">
        <v>479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488</v>
      </c>
    </row>
    <row r="36" ht="18.0" customHeight="1">
      <c r="A36" s="15" t="s">
        <v>489</v>
      </c>
      <c r="B36" s="16" t="s">
        <v>490</v>
      </c>
    </row>
    <row r="37" ht="18.0" customHeight="1">
      <c r="A37" s="17" t="s">
        <v>491</v>
      </c>
      <c r="B37" s="18" t="s">
        <v>492</v>
      </c>
    </row>
    <row r="38" ht="18.0" customHeight="1">
      <c r="A38" s="15" t="s">
        <v>493</v>
      </c>
      <c r="B38" s="16" t="s">
        <v>496</v>
      </c>
    </row>
    <row r="39" ht="18.0" customHeight="1">
      <c r="A39" s="17" t="s">
        <v>498</v>
      </c>
      <c r="B39" s="18" t="s">
        <v>499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410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415</v>
      </c>
    </row>
    <row r="5" ht="18.0" customHeight="1">
      <c r="A5" s="17" t="s">
        <v>413</v>
      </c>
      <c r="B5" s="18" t="s">
        <v>421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438</v>
      </c>
    </row>
    <row r="11" ht="18.0" customHeight="1">
      <c r="A11" s="17" t="s">
        <v>428</v>
      </c>
      <c r="B11" s="18" t="s">
        <v>440</v>
      </c>
    </row>
    <row r="12" ht="18.0" customHeight="1">
      <c r="A12" s="15" t="s">
        <v>430</v>
      </c>
      <c r="B12" s="16" t="s">
        <v>442</v>
      </c>
    </row>
    <row r="13" ht="18.0" customHeight="1">
      <c r="A13" s="17" t="s">
        <v>433</v>
      </c>
      <c r="B13" s="18" t="s">
        <v>443</v>
      </c>
    </row>
    <row r="14" ht="18.0" customHeight="1">
      <c r="A14" s="15" t="s">
        <v>435</v>
      </c>
      <c r="B14" s="16" t="s">
        <v>445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75.0" customHeight="1">
      <c r="A18" s="15" t="s">
        <v>454</v>
      </c>
      <c r="B18" s="16" t="s">
        <v>455</v>
      </c>
    </row>
    <row r="19" ht="75.0" customHeight="1">
      <c r="A19" s="17" t="s">
        <v>457</v>
      </c>
      <c r="B19" s="18" t="s">
        <v>458</v>
      </c>
    </row>
    <row r="20" ht="45.0" customHeight="1">
      <c r="A20" s="15" t="s">
        <v>459</v>
      </c>
      <c r="B20" s="16" t="s">
        <v>460</v>
      </c>
    </row>
    <row r="21" ht="45.0" customHeight="1">
      <c r="A21" s="17" t="s">
        <v>461</v>
      </c>
      <c r="B21" s="18" t="s">
        <v>463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470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478</v>
      </c>
    </row>
    <row r="28" ht="18.0" customHeight="1">
      <c r="A28" s="15" t="s">
        <v>471</v>
      </c>
      <c r="B28" s="16" t="s">
        <v>480</v>
      </c>
    </row>
    <row r="29" ht="18.0" customHeight="1">
      <c r="A29" s="17" t="s">
        <v>473</v>
      </c>
      <c r="B29" s="18" t="s">
        <v>482</v>
      </c>
    </row>
    <row r="30" ht="18.0" customHeight="1">
      <c r="A30" s="15" t="s">
        <v>475</v>
      </c>
      <c r="B30" s="16" t="s">
        <v>483</v>
      </c>
    </row>
    <row r="31" ht="18.0" customHeight="1">
      <c r="A31" s="17" t="s">
        <v>477</v>
      </c>
      <c r="B31" s="18" t="s">
        <v>484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494</v>
      </c>
    </row>
    <row r="36" ht="18.0" customHeight="1">
      <c r="A36" s="15" t="s">
        <v>489</v>
      </c>
      <c r="B36" s="16" t="s">
        <v>497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501</v>
      </c>
    </row>
    <row r="39" ht="18.0" customHeight="1">
      <c r="A39" s="17" t="s">
        <v>498</v>
      </c>
      <c r="B39" s="18" t="s">
        <v>502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495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503</v>
      </c>
    </row>
    <row r="5" ht="18.0" customHeight="1">
      <c r="A5" s="17" t="s">
        <v>413</v>
      </c>
      <c r="B5" s="18" t="s">
        <v>504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505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507</v>
      </c>
    </row>
    <row r="11" ht="18.0" customHeight="1">
      <c r="A11" s="17" t="s">
        <v>428</v>
      </c>
      <c r="B11" s="18" t="s">
        <v>508</v>
      </c>
    </row>
    <row r="12" ht="18.0" customHeight="1">
      <c r="A12" s="15" t="s">
        <v>430</v>
      </c>
      <c r="B12" s="16" t="s">
        <v>509</v>
      </c>
    </row>
    <row r="13" ht="18.0" customHeight="1">
      <c r="A13" s="17" t="s">
        <v>433</v>
      </c>
      <c r="B13" s="18" t="s">
        <v>510</v>
      </c>
    </row>
    <row r="14" ht="18.0" customHeight="1">
      <c r="A14" s="15" t="s">
        <v>435</v>
      </c>
      <c r="B14" s="16" t="s">
        <v>445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75.0" customHeight="1">
      <c r="A18" s="15" t="s">
        <v>511</v>
      </c>
      <c r="B18" s="16" t="s">
        <v>512</v>
      </c>
    </row>
    <row r="19" ht="90.0" customHeight="1">
      <c r="A19" s="17" t="s">
        <v>513</v>
      </c>
      <c r="B19" s="18" t="s">
        <v>514</v>
      </c>
    </row>
    <row r="20" ht="60.0" customHeight="1">
      <c r="A20" s="15" t="s">
        <v>515</v>
      </c>
      <c r="B20" s="16" t="s">
        <v>516</v>
      </c>
    </row>
    <row r="21" ht="30.0" customHeight="1">
      <c r="A21" s="17" t="s">
        <v>517</v>
      </c>
      <c r="B21" s="18" t="s">
        <v>518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519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520</v>
      </c>
    </row>
    <row r="28" ht="18.0" customHeight="1">
      <c r="A28" s="15" t="s">
        <v>471</v>
      </c>
      <c r="B28" s="16" t="s">
        <v>521</v>
      </c>
    </row>
    <row r="29" ht="18.0" customHeight="1">
      <c r="A29" s="17" t="s">
        <v>473</v>
      </c>
      <c r="B29" s="18" t="s">
        <v>522</v>
      </c>
    </row>
    <row r="30" ht="18.0" customHeight="1">
      <c r="A30" s="15" t="s">
        <v>475</v>
      </c>
      <c r="B30" s="16" t="s">
        <v>523</v>
      </c>
    </row>
    <row r="31" ht="18.0" customHeight="1">
      <c r="A31" s="17" t="s">
        <v>477</v>
      </c>
      <c r="B31" s="18" t="s">
        <v>524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525</v>
      </c>
    </row>
    <row r="36" ht="18.0" customHeight="1">
      <c r="A36" s="15" t="s">
        <v>489</v>
      </c>
      <c r="B36" s="16" t="s">
        <v>526</v>
      </c>
    </row>
    <row r="37" ht="18.0" customHeight="1">
      <c r="A37" s="17" t="s">
        <v>491</v>
      </c>
      <c r="B37" s="18" t="s">
        <v>527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529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530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531</v>
      </c>
    </row>
    <row r="5" ht="18.0" customHeight="1">
      <c r="A5" s="17" t="s">
        <v>413</v>
      </c>
      <c r="B5" s="18" t="s">
        <v>532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535</v>
      </c>
    </row>
    <row r="11" ht="18.0" customHeight="1">
      <c r="A11" s="17" t="s">
        <v>428</v>
      </c>
      <c r="B11" s="18" t="s">
        <v>536</v>
      </c>
    </row>
    <row r="12" ht="18.0" customHeight="1">
      <c r="A12" s="15" t="s">
        <v>430</v>
      </c>
      <c r="B12" s="16" t="s">
        <v>537</v>
      </c>
    </row>
    <row r="13" ht="18.0" customHeight="1">
      <c r="A13" s="17" t="s">
        <v>433</v>
      </c>
      <c r="B13" s="18" t="s">
        <v>538</v>
      </c>
    </row>
    <row r="14" ht="18.0" customHeight="1">
      <c r="A14" s="15" t="s">
        <v>435</v>
      </c>
      <c r="B14" s="16" t="s">
        <v>539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75.0" customHeight="1">
      <c r="A18" s="15" t="s">
        <v>543</v>
      </c>
      <c r="B18" s="16" t="s">
        <v>544</v>
      </c>
    </row>
    <row r="19" ht="75.0" customHeight="1">
      <c r="A19" s="17" t="s">
        <v>545</v>
      </c>
      <c r="B19" s="18" t="s">
        <v>546</v>
      </c>
    </row>
    <row r="20" ht="75.0" customHeight="1">
      <c r="A20" s="15" t="s">
        <v>548</v>
      </c>
      <c r="B20" s="16" t="s">
        <v>549</v>
      </c>
    </row>
    <row r="21" ht="45.0" customHeight="1">
      <c r="A21" s="17" t="s">
        <v>551</v>
      </c>
      <c r="B21" s="18" t="s">
        <v>553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557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560</v>
      </c>
    </row>
    <row r="28" ht="18.0" customHeight="1">
      <c r="A28" s="15" t="s">
        <v>471</v>
      </c>
      <c r="B28" s="16" t="s">
        <v>561</v>
      </c>
    </row>
    <row r="29" ht="18.0" customHeight="1">
      <c r="A29" s="17" t="s">
        <v>473</v>
      </c>
      <c r="B29" s="18" t="s">
        <v>562</v>
      </c>
    </row>
    <row r="30" ht="18.0" customHeight="1">
      <c r="A30" s="15" t="s">
        <v>475</v>
      </c>
      <c r="B30" s="16" t="s">
        <v>563</v>
      </c>
    </row>
    <row r="31" ht="18.0" customHeight="1">
      <c r="A31" s="17" t="s">
        <v>477</v>
      </c>
      <c r="B31" s="18" t="s">
        <v>565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572</v>
      </c>
    </row>
    <row r="36" ht="18.0" customHeight="1">
      <c r="A36" s="15" t="s">
        <v>489</v>
      </c>
      <c r="B36" s="16" t="s">
        <v>575</v>
      </c>
    </row>
    <row r="37" ht="18.0" customHeight="1">
      <c r="A37" s="17" t="s">
        <v>491</v>
      </c>
      <c r="B37" s="18" t="s">
        <v>577</v>
      </c>
    </row>
    <row r="38" ht="18.0" customHeight="1">
      <c r="A38" s="15" t="s">
        <v>493</v>
      </c>
      <c r="B38" s="16" t="s">
        <v>578</v>
      </c>
    </row>
    <row r="39" ht="18.0" customHeight="1">
      <c r="A39" s="17" t="s">
        <v>498</v>
      </c>
      <c r="B39" s="18" t="s">
        <v>579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533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540</v>
      </c>
    </row>
    <row r="5" ht="18.0" customHeight="1">
      <c r="A5" s="17" t="s">
        <v>413</v>
      </c>
      <c r="B5" s="18" t="s">
        <v>542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552</v>
      </c>
    </row>
    <row r="11" ht="18.0" customHeight="1">
      <c r="A11" s="17" t="s">
        <v>428</v>
      </c>
      <c r="B11" s="18" t="s">
        <v>554</v>
      </c>
    </row>
    <row r="12" ht="18.0" customHeight="1">
      <c r="A12" s="15" t="s">
        <v>430</v>
      </c>
      <c r="B12" s="16" t="s">
        <v>555</v>
      </c>
    </row>
    <row r="13" ht="18.0" customHeight="1">
      <c r="A13" s="17" t="s">
        <v>433</v>
      </c>
      <c r="B13" s="18" t="s">
        <v>556</v>
      </c>
    </row>
    <row r="14" ht="18.0" customHeight="1">
      <c r="A14" s="15" t="s">
        <v>435</v>
      </c>
      <c r="B14" s="16" t="s">
        <v>558</v>
      </c>
    </row>
    <row r="15" ht="18.0" customHeight="1">
      <c r="A15" s="17" t="s">
        <v>437</v>
      </c>
      <c r="B15" s="18" t="s">
        <v>559</v>
      </c>
    </row>
    <row r="17" ht="19.5" customHeight="1">
      <c r="A17" s="13" t="s">
        <v>441</v>
      </c>
      <c r="B17" s="14"/>
    </row>
    <row r="18" ht="60.0" customHeight="1">
      <c r="A18" s="15" t="s">
        <v>564</v>
      </c>
      <c r="B18" s="16" t="s">
        <v>566</v>
      </c>
    </row>
    <row r="19" ht="90.0" customHeight="1">
      <c r="A19" s="17" t="s">
        <v>568</v>
      </c>
      <c r="B19" s="18" t="s">
        <v>569</v>
      </c>
    </row>
    <row r="20" ht="45.0" customHeight="1">
      <c r="A20" s="15" t="s">
        <v>570</v>
      </c>
      <c r="B20" s="16" t="s">
        <v>571</v>
      </c>
    </row>
    <row r="21" ht="45.0" customHeight="1">
      <c r="A21" s="17" t="s">
        <v>573</v>
      </c>
      <c r="B21" s="18" t="s">
        <v>576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580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581</v>
      </c>
    </row>
    <row r="28" ht="18.0" customHeight="1">
      <c r="A28" s="15" t="s">
        <v>471</v>
      </c>
      <c r="B28" s="16" t="s">
        <v>583</v>
      </c>
    </row>
    <row r="29" ht="18.0" customHeight="1">
      <c r="A29" s="17" t="s">
        <v>473</v>
      </c>
      <c r="B29" s="18" t="s">
        <v>585</v>
      </c>
    </row>
    <row r="30" ht="18.0" customHeight="1">
      <c r="A30" s="15" t="s">
        <v>475</v>
      </c>
      <c r="B30" s="16" t="s">
        <v>586</v>
      </c>
    </row>
    <row r="31" ht="18.0" customHeight="1">
      <c r="A31" s="17" t="s">
        <v>477</v>
      </c>
      <c r="B31" s="18" t="s">
        <v>588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590</v>
      </c>
    </row>
    <row r="36" ht="18.0" customHeight="1">
      <c r="A36" s="15" t="s">
        <v>489</v>
      </c>
      <c r="B36" s="16" t="s">
        <v>591</v>
      </c>
    </row>
    <row r="37" ht="18.0" customHeight="1">
      <c r="A37" s="17" t="s">
        <v>491</v>
      </c>
      <c r="B37" s="18" t="s">
        <v>592</v>
      </c>
    </row>
    <row r="38" ht="18.0" customHeight="1">
      <c r="A38" s="15" t="s">
        <v>493</v>
      </c>
      <c r="B38" s="16" t="s">
        <v>593</v>
      </c>
    </row>
    <row r="39" ht="18.0" customHeight="1">
      <c r="A39" s="17" t="s">
        <v>498</v>
      </c>
      <c r="B39" s="18" t="s">
        <v>579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550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567</v>
      </c>
    </row>
    <row r="5" ht="18.0" customHeight="1">
      <c r="A5" s="17" t="s">
        <v>413</v>
      </c>
      <c r="B5" s="18" t="s">
        <v>574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582</v>
      </c>
    </row>
    <row r="11" ht="18.0" customHeight="1">
      <c r="A11" s="17" t="s">
        <v>428</v>
      </c>
      <c r="B11" s="18" t="s">
        <v>584</v>
      </c>
    </row>
    <row r="12" ht="18.0" customHeight="1">
      <c r="A12" s="15" t="s">
        <v>430</v>
      </c>
      <c r="B12" s="16" t="s">
        <v>587</v>
      </c>
    </row>
    <row r="13" ht="18.0" customHeight="1">
      <c r="A13" s="17" t="s">
        <v>433</v>
      </c>
      <c r="B13" s="18" t="s">
        <v>589</v>
      </c>
    </row>
    <row r="14" ht="18.0" customHeight="1">
      <c r="A14" s="15" t="s">
        <v>435</v>
      </c>
      <c r="B14" s="16" t="s">
        <v>558</v>
      </c>
    </row>
    <row r="15" ht="18.0" customHeight="1">
      <c r="A15" s="17" t="s">
        <v>437</v>
      </c>
      <c r="B15" s="18" t="s">
        <v>559</v>
      </c>
    </row>
    <row r="17" ht="19.5" customHeight="1">
      <c r="A17" s="13" t="s">
        <v>441</v>
      </c>
      <c r="B17" s="14"/>
    </row>
    <row r="18" ht="75.0" customHeight="1">
      <c r="A18" s="15" t="s">
        <v>594</v>
      </c>
      <c r="B18" s="16" t="s">
        <v>595</v>
      </c>
    </row>
    <row r="19" ht="75.0" customHeight="1">
      <c r="A19" s="17" t="s">
        <v>596</v>
      </c>
      <c r="B19" s="18" t="s">
        <v>597</v>
      </c>
    </row>
    <row r="20" ht="60.0" customHeight="1">
      <c r="A20" s="15" t="s">
        <v>598</v>
      </c>
      <c r="B20" s="16" t="s">
        <v>599</v>
      </c>
    </row>
    <row r="21" ht="30.0" customHeight="1">
      <c r="A21" s="17" t="s">
        <v>600</v>
      </c>
      <c r="B21" s="18" t="s">
        <v>601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602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603</v>
      </c>
    </row>
    <row r="28" ht="18.0" customHeight="1">
      <c r="A28" s="15" t="s">
        <v>471</v>
      </c>
      <c r="B28" s="16" t="s">
        <v>604</v>
      </c>
    </row>
    <row r="29" ht="18.0" customHeight="1">
      <c r="A29" s="17" t="s">
        <v>473</v>
      </c>
      <c r="B29" s="18" t="s">
        <v>605</v>
      </c>
    </row>
    <row r="30" ht="18.0" customHeight="1">
      <c r="A30" s="15" t="s">
        <v>475</v>
      </c>
      <c r="B30" s="16" t="s">
        <v>606</v>
      </c>
    </row>
    <row r="31" ht="18.0" customHeight="1">
      <c r="A31" s="17" t="s">
        <v>477</v>
      </c>
      <c r="B31" s="18" t="s">
        <v>479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607</v>
      </c>
    </row>
    <row r="36" ht="18.0" customHeight="1">
      <c r="A36" s="15" t="s">
        <v>489</v>
      </c>
      <c r="B36" s="16" t="s">
        <v>608</v>
      </c>
    </row>
    <row r="37" ht="18.0" customHeight="1">
      <c r="A37" s="17" t="s">
        <v>491</v>
      </c>
      <c r="B37" s="18" t="s">
        <v>609</v>
      </c>
    </row>
    <row r="38" ht="18.0" customHeight="1">
      <c r="A38" s="15" t="s">
        <v>493</v>
      </c>
      <c r="B38" s="16" t="s">
        <v>610</v>
      </c>
    </row>
    <row r="39" ht="18.0" customHeight="1">
      <c r="A39" s="17" t="s">
        <v>498</v>
      </c>
      <c r="B39" s="18" t="s">
        <v>611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612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613</v>
      </c>
    </row>
    <row r="5" ht="18.0" customHeight="1">
      <c r="A5" s="17" t="s">
        <v>413</v>
      </c>
      <c r="B5" s="18" t="s">
        <v>614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618</v>
      </c>
    </row>
    <row r="12" ht="18.0" customHeight="1">
      <c r="A12" s="15" t="s">
        <v>428</v>
      </c>
      <c r="B12" s="16" t="s">
        <v>619</v>
      </c>
    </row>
    <row r="13" ht="18.0" customHeight="1">
      <c r="A13" s="17" t="s">
        <v>430</v>
      </c>
      <c r="B13" s="18" t="s">
        <v>620</v>
      </c>
    </row>
    <row r="14" ht="18.0" customHeight="1">
      <c r="A14" s="15" t="s">
        <v>433</v>
      </c>
      <c r="B14" s="16" t="s">
        <v>621</v>
      </c>
    </row>
    <row r="15" ht="18.0" customHeight="1">
      <c r="A15" s="17" t="s">
        <v>435</v>
      </c>
      <c r="B15" s="18" t="s">
        <v>558</v>
      </c>
    </row>
    <row r="16" ht="18.0" customHeight="1">
      <c r="A16" s="15" t="s">
        <v>437</v>
      </c>
      <c r="B16" s="16" t="s">
        <v>559</v>
      </c>
    </row>
    <row r="18" ht="19.5" customHeight="1">
      <c r="A18" s="13" t="s">
        <v>441</v>
      </c>
      <c r="B18" s="14"/>
    </row>
    <row r="19" ht="60.0" customHeight="1">
      <c r="A19" s="15" t="s">
        <v>622</v>
      </c>
      <c r="B19" s="16" t="s">
        <v>623</v>
      </c>
    </row>
    <row r="20" ht="75.0" customHeight="1">
      <c r="A20" s="17" t="s">
        <v>624</v>
      </c>
      <c r="B20" s="18" t="s">
        <v>625</v>
      </c>
    </row>
    <row r="21" ht="45.0" customHeight="1">
      <c r="A21" s="15" t="s">
        <v>626</v>
      </c>
      <c r="B21" s="16" t="s">
        <v>627</v>
      </c>
    </row>
    <row r="22" ht="45.0" customHeight="1">
      <c r="A22" s="17" t="s">
        <v>628</v>
      </c>
      <c r="B22" s="18" t="s">
        <v>630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631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632</v>
      </c>
    </row>
    <row r="29" ht="18.0" customHeight="1">
      <c r="A29" s="15" t="s">
        <v>471</v>
      </c>
      <c r="B29" s="16" t="s">
        <v>633</v>
      </c>
    </row>
    <row r="30" ht="18.0" customHeight="1">
      <c r="A30" s="17" t="s">
        <v>473</v>
      </c>
      <c r="B30" s="18" t="s">
        <v>634</v>
      </c>
    </row>
    <row r="31" ht="18.0" customHeight="1">
      <c r="A31" s="15" t="s">
        <v>475</v>
      </c>
      <c r="B31" s="16" t="s">
        <v>636</v>
      </c>
    </row>
    <row r="32" ht="18.0" customHeight="1">
      <c r="A32" s="17" t="s">
        <v>477</v>
      </c>
      <c r="B32" s="18" t="s">
        <v>637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639</v>
      </c>
    </row>
    <row r="37" ht="18.0" customHeight="1">
      <c r="A37" s="15" t="s">
        <v>489</v>
      </c>
      <c r="B37" s="16" t="s">
        <v>640</v>
      </c>
    </row>
    <row r="38" ht="18.0" customHeight="1">
      <c r="A38" s="17" t="s">
        <v>491</v>
      </c>
      <c r="B38" s="18" t="s">
        <v>641</v>
      </c>
    </row>
    <row r="39" ht="18.0" customHeight="1">
      <c r="A39" s="15" t="s">
        <v>493</v>
      </c>
      <c r="B39" s="16" t="s">
        <v>642</v>
      </c>
    </row>
    <row r="40" ht="18.0" customHeight="1">
      <c r="A40" s="17" t="s">
        <v>498</v>
      </c>
      <c r="B40" s="18" t="s">
        <v>643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629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635</v>
      </c>
    </row>
    <row r="5" ht="18.0" customHeight="1">
      <c r="A5" s="17" t="s">
        <v>413</v>
      </c>
      <c r="B5" s="18" t="s">
        <v>638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644</v>
      </c>
    </row>
    <row r="12" ht="18.0" customHeight="1">
      <c r="A12" s="15" t="s">
        <v>428</v>
      </c>
      <c r="B12" s="16" t="s">
        <v>645</v>
      </c>
    </row>
    <row r="13" ht="18.0" customHeight="1">
      <c r="A13" s="17" t="s">
        <v>430</v>
      </c>
      <c r="B13" s="18" t="s">
        <v>646</v>
      </c>
    </row>
    <row r="14" ht="18.0" customHeight="1">
      <c r="A14" s="15" t="s">
        <v>433</v>
      </c>
      <c r="B14" s="16" t="s">
        <v>647</v>
      </c>
    </row>
    <row r="15" ht="18.0" customHeight="1">
      <c r="A15" s="17" t="s">
        <v>435</v>
      </c>
      <c r="B15" s="18" t="s">
        <v>445</v>
      </c>
    </row>
    <row r="16" ht="18.0" customHeight="1">
      <c r="A16" s="15" t="s">
        <v>437</v>
      </c>
      <c r="B16" s="16" t="s">
        <v>447</v>
      </c>
    </row>
    <row r="18" ht="19.5" customHeight="1">
      <c r="A18" s="13" t="s">
        <v>441</v>
      </c>
      <c r="B18" s="14"/>
    </row>
    <row r="19" ht="90.0" customHeight="1">
      <c r="A19" s="15" t="s">
        <v>648</v>
      </c>
      <c r="B19" s="16" t="s">
        <v>649</v>
      </c>
    </row>
    <row r="20" ht="75.0" customHeight="1">
      <c r="A20" s="17" t="s">
        <v>650</v>
      </c>
      <c r="B20" s="18" t="s">
        <v>651</v>
      </c>
    </row>
    <row r="21" ht="60.0" customHeight="1">
      <c r="A21" s="15" t="s">
        <v>652</v>
      </c>
      <c r="B21" s="16" t="s">
        <v>653</v>
      </c>
    </row>
    <row r="22" ht="45.0" customHeight="1">
      <c r="A22" s="17" t="s">
        <v>654</v>
      </c>
      <c r="B22" s="18" t="s">
        <v>655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656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657</v>
      </c>
    </row>
    <row r="29" ht="18.0" customHeight="1">
      <c r="A29" s="15" t="s">
        <v>471</v>
      </c>
      <c r="B29" s="16" t="s">
        <v>658</v>
      </c>
    </row>
    <row r="30" ht="18.0" customHeight="1">
      <c r="A30" s="17" t="s">
        <v>473</v>
      </c>
      <c r="B30" s="18" t="s">
        <v>659</v>
      </c>
    </row>
    <row r="31" ht="18.0" customHeight="1">
      <c r="A31" s="15" t="s">
        <v>475</v>
      </c>
      <c r="B31" s="16" t="s">
        <v>660</v>
      </c>
    </row>
    <row r="32" ht="18.0" customHeight="1">
      <c r="A32" s="17" t="s">
        <v>477</v>
      </c>
      <c r="B32" s="18" t="s">
        <v>661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662</v>
      </c>
    </row>
    <row r="37" ht="18.0" customHeight="1">
      <c r="A37" s="15" t="s">
        <v>489</v>
      </c>
      <c r="B37" s="16" t="s">
        <v>663</v>
      </c>
    </row>
    <row r="38" ht="18.0" customHeight="1">
      <c r="A38" s="17" t="s">
        <v>491</v>
      </c>
      <c r="B38" s="18" t="s">
        <v>527</v>
      </c>
    </row>
    <row r="39" ht="18.0" customHeight="1">
      <c r="A39" s="15" t="s">
        <v>493</v>
      </c>
      <c r="B39" s="16" t="s">
        <v>528</v>
      </c>
    </row>
    <row r="40" ht="18.0" customHeight="1">
      <c r="A40" s="17" t="s">
        <v>498</v>
      </c>
      <c r="B40" s="18" t="s">
        <v>529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664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665</v>
      </c>
    </row>
    <row r="5" ht="18.0" customHeight="1">
      <c r="A5" s="17" t="s">
        <v>413</v>
      </c>
      <c r="B5" s="18" t="s">
        <v>666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667</v>
      </c>
    </row>
    <row r="12" ht="18.0" customHeight="1">
      <c r="A12" s="15" t="s">
        <v>428</v>
      </c>
      <c r="B12" s="16" t="s">
        <v>668</v>
      </c>
    </row>
    <row r="13" ht="18.0" customHeight="1">
      <c r="A13" s="17" t="s">
        <v>430</v>
      </c>
      <c r="B13" s="18" t="s">
        <v>669</v>
      </c>
    </row>
    <row r="14" ht="18.0" customHeight="1">
      <c r="A14" s="15" t="s">
        <v>433</v>
      </c>
      <c r="B14" s="16" t="s">
        <v>670</v>
      </c>
    </row>
    <row r="15" ht="18.0" customHeight="1">
      <c r="A15" s="17" t="s">
        <v>435</v>
      </c>
      <c r="B15" s="18" t="s">
        <v>445</v>
      </c>
    </row>
    <row r="16" ht="18.0" customHeight="1">
      <c r="A16" s="15" t="s">
        <v>437</v>
      </c>
      <c r="B16" s="16" t="s">
        <v>447</v>
      </c>
    </row>
    <row r="18" ht="19.5" customHeight="1">
      <c r="A18" s="13" t="s">
        <v>441</v>
      </c>
      <c r="B18" s="14"/>
    </row>
    <row r="19" ht="60.0" customHeight="1">
      <c r="A19" s="15" t="s">
        <v>671</v>
      </c>
      <c r="B19" s="16" t="s">
        <v>672</v>
      </c>
    </row>
    <row r="20" ht="75.0" customHeight="1">
      <c r="A20" s="17" t="s">
        <v>673</v>
      </c>
      <c r="B20" s="18" t="s">
        <v>674</v>
      </c>
    </row>
    <row r="21" ht="45.0" customHeight="1">
      <c r="A21" s="15" t="s">
        <v>675</v>
      </c>
      <c r="B21" s="16" t="s">
        <v>676</v>
      </c>
    </row>
    <row r="22" ht="60.0" customHeight="1">
      <c r="A22" s="17" t="s">
        <v>677</v>
      </c>
      <c r="B22" s="18" t="s">
        <v>678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679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680</v>
      </c>
    </row>
    <row r="29" ht="18.0" customHeight="1">
      <c r="A29" s="15" t="s">
        <v>471</v>
      </c>
      <c r="B29" s="16" t="s">
        <v>681</v>
      </c>
    </row>
    <row r="30" ht="18.0" customHeight="1">
      <c r="A30" s="17" t="s">
        <v>473</v>
      </c>
      <c r="B30" s="18" t="s">
        <v>682</v>
      </c>
    </row>
    <row r="31" ht="18.0" customHeight="1">
      <c r="A31" s="15" t="s">
        <v>475</v>
      </c>
      <c r="B31" s="16" t="s">
        <v>683</v>
      </c>
    </row>
    <row r="32" ht="18.0" customHeight="1">
      <c r="A32" s="17" t="s">
        <v>477</v>
      </c>
      <c r="B32" s="18" t="s">
        <v>684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685</v>
      </c>
    </row>
    <row r="37" ht="18.0" customHeight="1">
      <c r="A37" s="15" t="s">
        <v>489</v>
      </c>
      <c r="B37" s="16" t="s">
        <v>686</v>
      </c>
    </row>
    <row r="38" ht="18.0" customHeight="1">
      <c r="A38" s="17" t="s">
        <v>491</v>
      </c>
      <c r="B38" s="18" t="s">
        <v>687</v>
      </c>
    </row>
    <row r="39" ht="18.0" customHeight="1">
      <c r="A39" s="15" t="s">
        <v>493</v>
      </c>
      <c r="B39" s="16" t="s">
        <v>688</v>
      </c>
    </row>
    <row r="40" ht="18.0" customHeight="1">
      <c r="A40" s="17" t="s">
        <v>498</v>
      </c>
      <c r="B40" s="18" t="s">
        <v>689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690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691</v>
      </c>
    </row>
    <row r="5" ht="18.0" customHeight="1">
      <c r="A5" s="17" t="s">
        <v>413</v>
      </c>
      <c r="B5" s="18" t="s">
        <v>692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694</v>
      </c>
    </row>
    <row r="11" ht="18.0" customHeight="1">
      <c r="A11" s="17" t="s">
        <v>428</v>
      </c>
      <c r="B11" s="18" t="s">
        <v>695</v>
      </c>
    </row>
    <row r="12" ht="18.0" customHeight="1">
      <c r="A12" s="15" t="s">
        <v>430</v>
      </c>
      <c r="B12" s="16" t="s">
        <v>696</v>
      </c>
    </row>
    <row r="13" ht="18.0" customHeight="1">
      <c r="A13" s="17" t="s">
        <v>433</v>
      </c>
      <c r="B13" s="18" t="s">
        <v>697</v>
      </c>
    </row>
    <row r="14" ht="18.0" customHeight="1">
      <c r="A14" s="15" t="s">
        <v>435</v>
      </c>
      <c r="B14" s="16" t="s">
        <v>445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60.0" customHeight="1">
      <c r="A18" s="15" t="s">
        <v>699</v>
      </c>
      <c r="B18" s="16" t="s">
        <v>701</v>
      </c>
    </row>
    <row r="19" ht="45.0" customHeight="1">
      <c r="A19" s="17" t="s">
        <v>702</v>
      </c>
      <c r="B19" s="18" t="s">
        <v>703</v>
      </c>
    </row>
    <row r="20" ht="30.0" customHeight="1">
      <c r="A20" s="15" t="s">
        <v>704</v>
      </c>
      <c r="B20" s="16" t="s">
        <v>705</v>
      </c>
    </row>
    <row r="21" ht="30.0" customHeight="1">
      <c r="A21" s="17" t="s">
        <v>706</v>
      </c>
      <c r="B21" s="18" t="s">
        <v>707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709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711</v>
      </c>
    </row>
    <row r="28" ht="18.0" customHeight="1">
      <c r="A28" s="15" t="s">
        <v>471</v>
      </c>
      <c r="B28" s="16" t="s">
        <v>713</v>
      </c>
    </row>
    <row r="29" ht="18.0" customHeight="1">
      <c r="A29" s="17" t="s">
        <v>473</v>
      </c>
      <c r="B29" s="18" t="s">
        <v>715</v>
      </c>
    </row>
    <row r="30" ht="18.0" customHeight="1">
      <c r="A30" s="15" t="s">
        <v>475</v>
      </c>
      <c r="B30" s="16" t="s">
        <v>717</v>
      </c>
    </row>
    <row r="31" ht="18.0" customHeight="1">
      <c r="A31" s="17" t="s">
        <v>477</v>
      </c>
      <c r="B31" s="18" t="s">
        <v>684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722</v>
      </c>
    </row>
    <row r="36" ht="18.0" customHeight="1">
      <c r="A36" s="15" t="s">
        <v>489</v>
      </c>
      <c r="B36" s="16" t="s">
        <v>724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728</v>
      </c>
    </row>
    <row r="39" ht="18.0" customHeight="1">
      <c r="A39" s="17" t="s">
        <v>498</v>
      </c>
      <c r="B39" s="18" t="s">
        <v>502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693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698</v>
      </c>
    </row>
    <row r="5" ht="18.0" customHeight="1">
      <c r="A5" s="17" t="s">
        <v>413</v>
      </c>
      <c r="B5" s="18" t="s">
        <v>700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708</v>
      </c>
    </row>
    <row r="11" ht="18.0" customHeight="1">
      <c r="A11" s="17" t="s">
        <v>428</v>
      </c>
      <c r="B11" s="18" t="s">
        <v>710</v>
      </c>
    </row>
    <row r="12" ht="18.0" customHeight="1">
      <c r="A12" s="15" t="s">
        <v>430</v>
      </c>
      <c r="B12" s="16" t="s">
        <v>537</v>
      </c>
    </row>
    <row r="13" ht="18.0" customHeight="1">
      <c r="A13" s="17" t="s">
        <v>433</v>
      </c>
      <c r="B13" s="18" t="s">
        <v>712</v>
      </c>
    </row>
    <row r="14" ht="18.0" customHeight="1">
      <c r="A14" s="15" t="s">
        <v>435</v>
      </c>
      <c r="B14" s="16" t="s">
        <v>714</v>
      </c>
    </row>
    <row r="15" ht="18.0" customHeight="1">
      <c r="A15" s="17" t="s">
        <v>437</v>
      </c>
      <c r="B15" s="18" t="s">
        <v>716</v>
      </c>
    </row>
    <row r="17" ht="19.5" customHeight="1">
      <c r="A17" s="13" t="s">
        <v>441</v>
      </c>
      <c r="B17" s="14"/>
    </row>
    <row r="18" ht="60.0" customHeight="1">
      <c r="A18" s="15" t="s">
        <v>718</v>
      </c>
      <c r="B18" s="16" t="s">
        <v>719</v>
      </c>
    </row>
    <row r="19" ht="45.0" customHeight="1">
      <c r="A19" s="17" t="s">
        <v>720</v>
      </c>
      <c r="B19" s="18" t="s">
        <v>721</v>
      </c>
    </row>
    <row r="20" ht="45.0" customHeight="1">
      <c r="A20" s="15" t="s">
        <v>723</v>
      </c>
      <c r="B20" s="16" t="s">
        <v>725</v>
      </c>
    </row>
    <row r="21" ht="45.0" customHeight="1">
      <c r="A21" s="17" t="s">
        <v>726</v>
      </c>
      <c r="B21" s="18" t="s">
        <v>727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729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730</v>
      </c>
    </row>
    <row r="28" ht="18.0" customHeight="1">
      <c r="A28" s="15" t="s">
        <v>471</v>
      </c>
      <c r="B28" s="16" t="s">
        <v>731</v>
      </c>
    </row>
    <row r="29" ht="18.0" customHeight="1">
      <c r="A29" s="17" t="s">
        <v>473</v>
      </c>
      <c r="B29" s="18" t="s">
        <v>732</v>
      </c>
    </row>
    <row r="30" ht="18.0" customHeight="1">
      <c r="A30" s="15" t="s">
        <v>475</v>
      </c>
      <c r="B30" s="16" t="s">
        <v>733</v>
      </c>
    </row>
    <row r="31" ht="18.0" customHeight="1">
      <c r="A31" s="17" t="s">
        <v>477</v>
      </c>
      <c r="B31" s="18" t="s">
        <v>484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734</v>
      </c>
    </row>
    <row r="36" ht="18.0" customHeight="1">
      <c r="A36" s="15" t="s">
        <v>489</v>
      </c>
      <c r="B36" s="16" t="s">
        <v>735</v>
      </c>
    </row>
    <row r="37" ht="18.0" customHeight="1">
      <c r="A37" s="17" t="s">
        <v>491</v>
      </c>
      <c r="B37" s="18" t="s">
        <v>736</v>
      </c>
    </row>
    <row r="38" ht="18.0" customHeight="1">
      <c r="A38" s="15" t="s">
        <v>493</v>
      </c>
      <c r="B38" s="16" t="s">
        <v>737</v>
      </c>
    </row>
    <row r="39" ht="18.0" customHeight="1">
      <c r="A39" s="17" t="s">
        <v>498</v>
      </c>
      <c r="B39" s="18" t="s">
        <v>579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738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739</v>
      </c>
    </row>
    <row r="5" ht="18.0" customHeight="1">
      <c r="A5" s="17" t="s">
        <v>413</v>
      </c>
      <c r="B5" s="18" t="s">
        <v>614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740</v>
      </c>
    </row>
    <row r="12" ht="18.0" customHeight="1">
      <c r="A12" s="15" t="s">
        <v>428</v>
      </c>
      <c r="B12" s="16" t="s">
        <v>741</v>
      </c>
    </row>
    <row r="13" ht="18.0" customHeight="1">
      <c r="A13" s="17" t="s">
        <v>430</v>
      </c>
      <c r="B13" s="18" t="s">
        <v>742</v>
      </c>
    </row>
    <row r="14" ht="18.0" customHeight="1">
      <c r="A14" s="15" t="s">
        <v>433</v>
      </c>
      <c r="B14" s="16" t="s">
        <v>743</v>
      </c>
    </row>
    <row r="15" ht="18.0" customHeight="1">
      <c r="A15" s="17" t="s">
        <v>435</v>
      </c>
      <c r="B15" s="18" t="s">
        <v>558</v>
      </c>
    </row>
    <row r="16" ht="18.0" customHeight="1">
      <c r="A16" s="15" t="s">
        <v>437</v>
      </c>
      <c r="B16" s="16" t="s">
        <v>559</v>
      </c>
    </row>
    <row r="18" ht="19.5" customHeight="1">
      <c r="A18" s="13" t="s">
        <v>441</v>
      </c>
      <c r="B18" s="14"/>
    </row>
    <row r="19" ht="75.0" customHeight="1">
      <c r="A19" s="15" t="s">
        <v>744</v>
      </c>
      <c r="B19" s="16" t="s">
        <v>745</v>
      </c>
    </row>
    <row r="20" ht="75.0" customHeight="1">
      <c r="A20" s="17" t="s">
        <v>746</v>
      </c>
      <c r="B20" s="18" t="s">
        <v>747</v>
      </c>
    </row>
    <row r="21" ht="45.0" customHeight="1">
      <c r="A21" s="15" t="s">
        <v>748</v>
      </c>
      <c r="B21" s="16" t="s">
        <v>749</v>
      </c>
    </row>
    <row r="22" ht="45.0" customHeight="1">
      <c r="A22" s="17" t="s">
        <v>750</v>
      </c>
      <c r="B22" s="18" t="s">
        <v>751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752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753</v>
      </c>
    </row>
    <row r="29" ht="18.0" customHeight="1">
      <c r="A29" s="15" t="s">
        <v>471</v>
      </c>
      <c r="B29" s="16" t="s">
        <v>754</v>
      </c>
    </row>
    <row r="30" ht="18.0" customHeight="1">
      <c r="A30" s="17" t="s">
        <v>473</v>
      </c>
      <c r="B30" s="18" t="s">
        <v>755</v>
      </c>
    </row>
    <row r="31" ht="18.0" customHeight="1">
      <c r="A31" s="15" t="s">
        <v>475</v>
      </c>
      <c r="B31" s="16" t="s">
        <v>757</v>
      </c>
    </row>
    <row r="32" ht="18.0" customHeight="1">
      <c r="A32" s="17" t="s">
        <v>477</v>
      </c>
      <c r="B32" s="18" t="s">
        <v>758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759</v>
      </c>
    </row>
    <row r="37" ht="18.0" customHeight="1">
      <c r="A37" s="15" t="s">
        <v>489</v>
      </c>
      <c r="B37" s="16" t="s">
        <v>760</v>
      </c>
    </row>
    <row r="38" ht="18.0" customHeight="1">
      <c r="A38" s="17" t="s">
        <v>491</v>
      </c>
      <c r="B38" s="18" t="s">
        <v>763</v>
      </c>
    </row>
    <row r="39" ht="18.0" customHeight="1">
      <c r="A39" s="15" t="s">
        <v>493</v>
      </c>
      <c r="B39" s="16" t="s">
        <v>764</v>
      </c>
    </row>
    <row r="40" ht="18.0" customHeight="1">
      <c r="A40" s="17" t="s">
        <v>498</v>
      </c>
      <c r="B40" s="18" t="s">
        <v>765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756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762</v>
      </c>
    </row>
    <row r="5" ht="18.0" customHeight="1">
      <c r="A5" s="17" t="s">
        <v>413</v>
      </c>
      <c r="B5" s="18" t="s">
        <v>542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767</v>
      </c>
    </row>
    <row r="11" ht="18.0" customHeight="1">
      <c r="A11" s="17" t="s">
        <v>428</v>
      </c>
      <c r="B11" s="18" t="s">
        <v>768</v>
      </c>
    </row>
    <row r="12" ht="18.0" customHeight="1">
      <c r="A12" s="15" t="s">
        <v>430</v>
      </c>
      <c r="B12" s="16" t="s">
        <v>770</v>
      </c>
    </row>
    <row r="13" ht="18.0" customHeight="1">
      <c r="A13" s="17" t="s">
        <v>433</v>
      </c>
      <c r="B13" s="18" t="s">
        <v>712</v>
      </c>
    </row>
    <row r="14" ht="18.0" customHeight="1">
      <c r="A14" s="15" t="s">
        <v>435</v>
      </c>
      <c r="B14" s="16" t="s">
        <v>539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45.0" customHeight="1">
      <c r="A18" s="15" t="s">
        <v>771</v>
      </c>
      <c r="B18" s="16" t="s">
        <v>772</v>
      </c>
    </row>
    <row r="19" ht="75.0" customHeight="1">
      <c r="A19" s="17" t="s">
        <v>773</v>
      </c>
      <c r="B19" s="18" t="s">
        <v>774</v>
      </c>
    </row>
    <row r="20" ht="45.0" customHeight="1">
      <c r="A20" s="15" t="s">
        <v>775</v>
      </c>
      <c r="B20" s="16" t="s">
        <v>776</v>
      </c>
    </row>
    <row r="21" ht="45.0" customHeight="1">
      <c r="A21" s="17" t="s">
        <v>778</v>
      </c>
      <c r="B21" s="18" t="s">
        <v>779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784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786</v>
      </c>
    </row>
    <row r="28" ht="18.0" customHeight="1">
      <c r="A28" s="15" t="s">
        <v>471</v>
      </c>
      <c r="B28" s="16" t="s">
        <v>787</v>
      </c>
    </row>
    <row r="29" ht="18.0" customHeight="1">
      <c r="A29" s="17" t="s">
        <v>473</v>
      </c>
      <c r="B29" s="18" t="s">
        <v>789</v>
      </c>
    </row>
    <row r="30" ht="18.0" customHeight="1">
      <c r="A30" s="15" t="s">
        <v>475</v>
      </c>
      <c r="B30" s="16" t="s">
        <v>790</v>
      </c>
    </row>
    <row r="31" ht="18.0" customHeight="1">
      <c r="A31" s="17" t="s">
        <v>477</v>
      </c>
      <c r="B31" s="18" t="s">
        <v>792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799</v>
      </c>
    </row>
    <row r="36" ht="18.0" customHeight="1">
      <c r="A36" s="15" t="s">
        <v>489</v>
      </c>
      <c r="B36" s="16" t="s">
        <v>802</v>
      </c>
    </row>
    <row r="37" ht="18.0" customHeight="1">
      <c r="A37" s="17" t="s">
        <v>491</v>
      </c>
      <c r="B37" s="18" t="s">
        <v>803</v>
      </c>
    </row>
    <row r="38" ht="18.0" customHeight="1">
      <c r="A38" s="15" t="s">
        <v>493</v>
      </c>
      <c r="B38" s="16" t="s">
        <v>805</v>
      </c>
    </row>
    <row r="39" ht="18.0" customHeight="1">
      <c r="A39" s="17" t="s">
        <v>498</v>
      </c>
      <c r="B39" s="18" t="s">
        <v>808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761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766</v>
      </c>
    </row>
    <row r="5" ht="18.0" customHeight="1">
      <c r="A5" s="17" t="s">
        <v>413</v>
      </c>
      <c r="B5" s="18" t="s">
        <v>614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780</v>
      </c>
    </row>
    <row r="11" ht="18.0" customHeight="1">
      <c r="A11" s="17" t="s">
        <v>425</v>
      </c>
      <c r="B11" s="18" t="s">
        <v>781</v>
      </c>
    </row>
    <row r="12" ht="18.0" customHeight="1">
      <c r="A12" s="15" t="s">
        <v>428</v>
      </c>
      <c r="B12" s="16" t="s">
        <v>695</v>
      </c>
    </row>
    <row r="13" ht="18.0" customHeight="1">
      <c r="A13" s="17" t="s">
        <v>430</v>
      </c>
      <c r="B13" s="18" t="s">
        <v>783</v>
      </c>
    </row>
    <row r="14" ht="18.0" customHeight="1">
      <c r="A14" s="15" t="s">
        <v>433</v>
      </c>
      <c r="B14" s="16" t="s">
        <v>785</v>
      </c>
    </row>
    <row r="15" ht="18.0" customHeight="1">
      <c r="A15" s="17" t="s">
        <v>435</v>
      </c>
      <c r="B15" s="18" t="s">
        <v>445</v>
      </c>
    </row>
    <row r="16" ht="18.0" customHeight="1">
      <c r="A16" s="15" t="s">
        <v>437</v>
      </c>
      <c r="B16" s="16" t="s">
        <v>447</v>
      </c>
    </row>
    <row r="18" ht="19.5" customHeight="1">
      <c r="A18" s="13" t="s">
        <v>441</v>
      </c>
      <c r="B18" s="14"/>
    </row>
    <row r="19" ht="60.0" customHeight="1">
      <c r="A19" s="15" t="s">
        <v>793</v>
      </c>
      <c r="B19" s="16" t="s">
        <v>794</v>
      </c>
    </row>
    <row r="20" ht="60.0" customHeight="1">
      <c r="A20" s="17" t="s">
        <v>795</v>
      </c>
      <c r="B20" s="18" t="s">
        <v>796</v>
      </c>
    </row>
    <row r="21" ht="45.0" customHeight="1">
      <c r="A21" s="15" t="s">
        <v>797</v>
      </c>
      <c r="B21" s="16" t="s">
        <v>798</v>
      </c>
    </row>
    <row r="22" ht="45.0" customHeight="1">
      <c r="A22" s="17" t="s">
        <v>800</v>
      </c>
      <c r="B22" s="18" t="s">
        <v>801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811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815</v>
      </c>
    </row>
    <row r="29" ht="18.0" customHeight="1">
      <c r="A29" s="15" t="s">
        <v>471</v>
      </c>
      <c r="B29" s="16" t="s">
        <v>816</v>
      </c>
    </row>
    <row r="30" ht="18.0" customHeight="1">
      <c r="A30" s="17" t="s">
        <v>473</v>
      </c>
      <c r="B30" s="18" t="s">
        <v>817</v>
      </c>
    </row>
    <row r="31" ht="18.0" customHeight="1">
      <c r="A31" s="15" t="s">
        <v>475</v>
      </c>
      <c r="B31" s="16" t="s">
        <v>819</v>
      </c>
    </row>
    <row r="32" ht="18.0" customHeight="1">
      <c r="A32" s="17" t="s">
        <v>477</v>
      </c>
      <c r="B32" s="18" t="s">
        <v>479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822</v>
      </c>
    </row>
    <row r="37" ht="18.0" customHeight="1">
      <c r="A37" s="15" t="s">
        <v>489</v>
      </c>
      <c r="B37" s="16" t="s">
        <v>825</v>
      </c>
    </row>
    <row r="38" ht="18.0" customHeight="1">
      <c r="A38" s="17" t="s">
        <v>491</v>
      </c>
      <c r="B38" s="18" t="s">
        <v>500</v>
      </c>
    </row>
    <row r="39" ht="18.0" customHeight="1">
      <c r="A39" s="15" t="s">
        <v>493</v>
      </c>
      <c r="B39" s="16" t="s">
        <v>826</v>
      </c>
    </row>
    <row r="40" ht="18.0" customHeight="1">
      <c r="A40" s="17" t="s">
        <v>498</v>
      </c>
      <c r="B40" s="18" t="s">
        <v>827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769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777</v>
      </c>
    </row>
    <row r="5" ht="18.0" customHeight="1">
      <c r="A5" s="17" t="s">
        <v>413</v>
      </c>
      <c r="B5" s="18" t="s">
        <v>782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788</v>
      </c>
    </row>
    <row r="11" ht="18.0" customHeight="1">
      <c r="A11" s="17" t="s">
        <v>428</v>
      </c>
      <c r="B11" s="18" t="s">
        <v>791</v>
      </c>
    </row>
    <row r="12" ht="18.0" customHeight="1">
      <c r="A12" s="15" t="s">
        <v>430</v>
      </c>
      <c r="B12" s="16" t="s">
        <v>537</v>
      </c>
    </row>
    <row r="13" ht="18.0" customHeight="1">
      <c r="A13" s="17" t="s">
        <v>433</v>
      </c>
      <c r="B13" s="18" t="s">
        <v>556</v>
      </c>
    </row>
    <row r="14" ht="18.0" customHeight="1">
      <c r="A14" s="15" t="s">
        <v>435</v>
      </c>
      <c r="B14" s="16" t="s">
        <v>714</v>
      </c>
    </row>
    <row r="15" ht="18.0" customHeight="1">
      <c r="A15" s="17" t="s">
        <v>437</v>
      </c>
      <c r="B15" s="18" t="s">
        <v>716</v>
      </c>
    </row>
    <row r="17" ht="19.5" customHeight="1">
      <c r="A17" s="13" t="s">
        <v>441</v>
      </c>
      <c r="B17" s="14"/>
    </row>
    <row r="18" ht="60.0" customHeight="1">
      <c r="A18" s="15" t="s">
        <v>804</v>
      </c>
      <c r="B18" s="16" t="s">
        <v>806</v>
      </c>
    </row>
    <row r="19" ht="45.0" customHeight="1">
      <c r="A19" s="17" t="s">
        <v>807</v>
      </c>
      <c r="B19" s="18" t="s">
        <v>809</v>
      </c>
    </row>
    <row r="20" ht="45.0" customHeight="1">
      <c r="A20" s="15" t="s">
        <v>810</v>
      </c>
      <c r="B20" s="16" t="s">
        <v>812</v>
      </c>
    </row>
    <row r="21" ht="60.0" customHeight="1">
      <c r="A21" s="17" t="s">
        <v>813</v>
      </c>
      <c r="B21" s="18" t="s">
        <v>814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818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820</v>
      </c>
    </row>
    <row r="28" ht="18.0" customHeight="1">
      <c r="A28" s="15" t="s">
        <v>471</v>
      </c>
      <c r="B28" s="16" t="s">
        <v>821</v>
      </c>
    </row>
    <row r="29" ht="18.0" customHeight="1">
      <c r="A29" s="17" t="s">
        <v>473</v>
      </c>
      <c r="B29" s="18" t="s">
        <v>823</v>
      </c>
    </row>
    <row r="30" ht="18.0" customHeight="1">
      <c r="A30" s="15" t="s">
        <v>475</v>
      </c>
      <c r="B30" s="16" t="s">
        <v>824</v>
      </c>
    </row>
    <row r="31" ht="18.0" customHeight="1">
      <c r="A31" s="17" t="s">
        <v>477</v>
      </c>
      <c r="B31" s="18" t="s">
        <v>479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828</v>
      </c>
    </row>
    <row r="36" ht="18.0" customHeight="1">
      <c r="A36" s="15" t="s">
        <v>489</v>
      </c>
      <c r="B36" s="16" t="s">
        <v>829</v>
      </c>
    </row>
    <row r="37" ht="18.0" customHeight="1">
      <c r="A37" s="17" t="s">
        <v>491</v>
      </c>
      <c r="B37" s="18" t="s">
        <v>803</v>
      </c>
    </row>
    <row r="38" ht="18.0" customHeight="1">
      <c r="A38" s="15" t="s">
        <v>493</v>
      </c>
      <c r="B38" s="16" t="s">
        <v>830</v>
      </c>
    </row>
    <row r="39" ht="18.0" customHeight="1">
      <c r="A39" s="17" t="s">
        <v>498</v>
      </c>
      <c r="B39" s="18" t="s">
        <v>808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831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832</v>
      </c>
    </row>
    <row r="5" ht="18.0" customHeight="1">
      <c r="A5" s="17" t="s">
        <v>413</v>
      </c>
      <c r="B5" s="18" t="s">
        <v>833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835</v>
      </c>
    </row>
    <row r="11" ht="18.0" customHeight="1">
      <c r="A11" s="17" t="s">
        <v>428</v>
      </c>
      <c r="B11" s="18" t="s">
        <v>837</v>
      </c>
    </row>
    <row r="12" ht="18.0" customHeight="1">
      <c r="A12" s="15" t="s">
        <v>430</v>
      </c>
      <c r="B12" s="16" t="s">
        <v>838</v>
      </c>
    </row>
    <row r="13" ht="18.0" customHeight="1">
      <c r="A13" s="17" t="s">
        <v>433</v>
      </c>
      <c r="B13" s="18" t="s">
        <v>839</v>
      </c>
    </row>
    <row r="14" ht="18.0" customHeight="1">
      <c r="A14" s="15" t="s">
        <v>435</v>
      </c>
      <c r="B14" s="16" t="s">
        <v>445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60.0" customHeight="1">
      <c r="A18" s="15" t="s">
        <v>841</v>
      </c>
      <c r="B18" s="16" t="s">
        <v>842</v>
      </c>
    </row>
    <row r="19" ht="60.0" customHeight="1">
      <c r="A19" s="17" t="s">
        <v>843</v>
      </c>
      <c r="B19" s="18" t="s">
        <v>847</v>
      </c>
    </row>
    <row r="20" ht="60.0" customHeight="1">
      <c r="A20" s="15" t="s">
        <v>849</v>
      </c>
      <c r="B20" s="16" t="s">
        <v>850</v>
      </c>
    </row>
    <row r="21" ht="45.0" customHeight="1">
      <c r="A21" s="17" t="s">
        <v>853</v>
      </c>
      <c r="B21" s="18" t="s">
        <v>855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856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862</v>
      </c>
    </row>
    <row r="28" ht="18.0" customHeight="1">
      <c r="A28" s="15" t="s">
        <v>471</v>
      </c>
      <c r="B28" s="16" t="s">
        <v>867</v>
      </c>
    </row>
    <row r="29" ht="18.0" customHeight="1">
      <c r="A29" s="17" t="s">
        <v>473</v>
      </c>
      <c r="B29" s="18" t="s">
        <v>870</v>
      </c>
    </row>
    <row r="30" ht="18.0" customHeight="1">
      <c r="A30" s="15" t="s">
        <v>475</v>
      </c>
      <c r="B30" s="16" t="s">
        <v>880</v>
      </c>
    </row>
    <row r="31" ht="18.0" customHeight="1">
      <c r="A31" s="17" t="s">
        <v>477</v>
      </c>
      <c r="B31" s="18" t="s">
        <v>885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896</v>
      </c>
    </row>
    <row r="36" ht="18.0" customHeight="1">
      <c r="A36" s="15" t="s">
        <v>489</v>
      </c>
      <c r="B36" s="16" t="s">
        <v>897</v>
      </c>
    </row>
    <row r="37" ht="18.0" customHeight="1">
      <c r="A37" s="17" t="s">
        <v>491</v>
      </c>
      <c r="B37" s="18" t="s">
        <v>902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910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834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836</v>
      </c>
    </row>
    <row r="5" ht="18.0" customHeight="1">
      <c r="A5" s="17" t="s">
        <v>413</v>
      </c>
      <c r="B5" s="18" t="s">
        <v>692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845</v>
      </c>
    </row>
    <row r="11" ht="18.0" customHeight="1">
      <c r="A11" s="17" t="s">
        <v>428</v>
      </c>
      <c r="B11" s="18" t="s">
        <v>848</v>
      </c>
    </row>
    <row r="12" ht="18.0" customHeight="1">
      <c r="A12" s="15" t="s">
        <v>430</v>
      </c>
      <c r="B12" s="16" t="s">
        <v>851</v>
      </c>
    </row>
    <row r="13" ht="18.0" customHeight="1">
      <c r="A13" s="17" t="s">
        <v>433</v>
      </c>
      <c r="B13" s="18" t="s">
        <v>854</v>
      </c>
    </row>
    <row r="14" ht="18.0" customHeight="1">
      <c r="A14" s="15" t="s">
        <v>435</v>
      </c>
      <c r="B14" s="16" t="s">
        <v>714</v>
      </c>
    </row>
    <row r="15" ht="18.0" customHeight="1">
      <c r="A15" s="17" t="s">
        <v>437</v>
      </c>
      <c r="B15" s="18" t="s">
        <v>716</v>
      </c>
    </row>
    <row r="17" ht="19.5" customHeight="1">
      <c r="A17" s="13" t="s">
        <v>441</v>
      </c>
      <c r="B17" s="14"/>
    </row>
    <row r="18" ht="45.0" customHeight="1">
      <c r="A18" s="15" t="s">
        <v>699</v>
      </c>
      <c r="B18" s="16" t="s">
        <v>861</v>
      </c>
    </row>
    <row r="19" ht="60.0" customHeight="1">
      <c r="A19" s="17" t="s">
        <v>863</v>
      </c>
      <c r="B19" s="18" t="s">
        <v>865</v>
      </c>
    </row>
    <row r="20" ht="60.0" customHeight="1">
      <c r="A20" s="15" t="s">
        <v>866</v>
      </c>
      <c r="B20" s="16" t="s">
        <v>868</v>
      </c>
    </row>
    <row r="21" ht="45.0" customHeight="1">
      <c r="A21" s="17" t="s">
        <v>869</v>
      </c>
      <c r="B21" s="18" t="s">
        <v>871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876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883</v>
      </c>
    </row>
    <row r="28" ht="18.0" customHeight="1">
      <c r="A28" s="15" t="s">
        <v>471</v>
      </c>
      <c r="B28" s="16" t="s">
        <v>887</v>
      </c>
    </row>
    <row r="29" ht="18.0" customHeight="1">
      <c r="A29" s="17" t="s">
        <v>473</v>
      </c>
      <c r="B29" s="18" t="s">
        <v>888</v>
      </c>
    </row>
    <row r="30" ht="18.0" customHeight="1">
      <c r="A30" s="15" t="s">
        <v>475</v>
      </c>
      <c r="B30" s="16" t="s">
        <v>890</v>
      </c>
    </row>
    <row r="31" ht="18.0" customHeight="1">
      <c r="A31" s="17" t="s">
        <v>477</v>
      </c>
      <c r="B31" s="18" t="s">
        <v>892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894</v>
      </c>
    </row>
    <row r="36" ht="18.0" customHeight="1">
      <c r="A36" s="15" t="s">
        <v>489</v>
      </c>
      <c r="B36" s="16" t="s">
        <v>895</v>
      </c>
    </row>
    <row r="37" ht="18.0" customHeight="1">
      <c r="A37" s="17" t="s">
        <v>491</v>
      </c>
      <c r="B37" s="18" t="s">
        <v>803</v>
      </c>
    </row>
    <row r="38" ht="18.0" customHeight="1">
      <c r="A38" s="15" t="s">
        <v>493</v>
      </c>
      <c r="B38" s="16" t="s">
        <v>593</v>
      </c>
    </row>
    <row r="39" ht="18.0" customHeight="1">
      <c r="A39" s="17" t="s">
        <v>498</v>
      </c>
      <c r="B39" s="18" t="s">
        <v>899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840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846</v>
      </c>
    </row>
    <row r="5" ht="18.0" customHeight="1">
      <c r="A5" s="17" t="s">
        <v>413</v>
      </c>
      <c r="B5" s="18" t="s">
        <v>852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857</v>
      </c>
    </row>
    <row r="11" ht="18.0" customHeight="1">
      <c r="A11" s="17" t="s">
        <v>428</v>
      </c>
      <c r="B11" s="18" t="s">
        <v>859</v>
      </c>
    </row>
    <row r="12" ht="18.0" customHeight="1">
      <c r="A12" s="15" t="s">
        <v>430</v>
      </c>
      <c r="B12" s="16" t="s">
        <v>860</v>
      </c>
    </row>
    <row r="13" ht="18.0" customHeight="1">
      <c r="A13" s="17" t="s">
        <v>433</v>
      </c>
      <c r="B13" s="18" t="s">
        <v>854</v>
      </c>
    </row>
    <row r="14" ht="18.0" customHeight="1">
      <c r="A14" s="15" t="s">
        <v>435</v>
      </c>
      <c r="B14" s="16" t="s">
        <v>714</v>
      </c>
    </row>
    <row r="15" ht="18.0" customHeight="1">
      <c r="A15" s="17" t="s">
        <v>437</v>
      </c>
      <c r="B15" s="18" t="s">
        <v>716</v>
      </c>
    </row>
    <row r="17" ht="19.5" customHeight="1">
      <c r="A17" s="13" t="s">
        <v>441</v>
      </c>
      <c r="B17" s="14"/>
    </row>
    <row r="18" ht="45.0" customHeight="1">
      <c r="A18" s="15" t="s">
        <v>872</v>
      </c>
      <c r="B18" s="16" t="s">
        <v>874</v>
      </c>
    </row>
    <row r="19" ht="75.0" customHeight="1">
      <c r="A19" s="17" t="s">
        <v>875</v>
      </c>
      <c r="B19" s="18" t="s">
        <v>877</v>
      </c>
    </row>
    <row r="20" ht="60.0" customHeight="1">
      <c r="A20" s="15" t="s">
        <v>878</v>
      </c>
      <c r="B20" s="16" t="s">
        <v>879</v>
      </c>
    </row>
    <row r="21" ht="60.0" customHeight="1">
      <c r="A21" s="17" t="s">
        <v>882</v>
      </c>
      <c r="B21" s="18" t="s">
        <v>884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893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898</v>
      </c>
    </row>
    <row r="28" ht="18.0" customHeight="1">
      <c r="A28" s="15" t="s">
        <v>471</v>
      </c>
      <c r="B28" s="16" t="s">
        <v>901</v>
      </c>
    </row>
    <row r="29" ht="18.0" customHeight="1">
      <c r="A29" s="17" t="s">
        <v>473</v>
      </c>
      <c r="B29" s="18" t="s">
        <v>904</v>
      </c>
    </row>
    <row r="30" ht="18.0" customHeight="1">
      <c r="A30" s="15" t="s">
        <v>475</v>
      </c>
      <c r="B30" s="16" t="s">
        <v>907</v>
      </c>
    </row>
    <row r="31" ht="18.0" customHeight="1">
      <c r="A31" s="17" t="s">
        <v>477</v>
      </c>
      <c r="B31" s="18" t="s">
        <v>909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912</v>
      </c>
    </row>
    <row r="36" ht="18.0" customHeight="1">
      <c r="A36" s="15" t="s">
        <v>489</v>
      </c>
      <c r="B36" s="16" t="s">
        <v>913</v>
      </c>
    </row>
    <row r="37" ht="18.0" customHeight="1">
      <c r="A37" s="17" t="s">
        <v>491</v>
      </c>
      <c r="B37" s="18" t="s">
        <v>577</v>
      </c>
    </row>
    <row r="38" ht="18.0" customHeight="1">
      <c r="A38" s="15" t="s">
        <v>493</v>
      </c>
      <c r="B38" s="16" t="s">
        <v>578</v>
      </c>
    </row>
    <row r="39" ht="18.0" customHeight="1">
      <c r="A39" s="17" t="s">
        <v>498</v>
      </c>
      <c r="B39" s="18" t="s">
        <v>579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844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858</v>
      </c>
    </row>
    <row r="5" ht="18.0" customHeight="1">
      <c r="A5" s="17" t="s">
        <v>413</v>
      </c>
      <c r="B5" s="18" t="s">
        <v>864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873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881</v>
      </c>
    </row>
    <row r="11" ht="18.0" customHeight="1">
      <c r="A11" s="17" t="s">
        <v>428</v>
      </c>
      <c r="B11" s="18" t="s">
        <v>886</v>
      </c>
    </row>
    <row r="12" ht="18.0" customHeight="1">
      <c r="A12" s="15" t="s">
        <v>430</v>
      </c>
      <c r="B12" s="16" t="s">
        <v>889</v>
      </c>
    </row>
    <row r="13" ht="18.0" customHeight="1">
      <c r="A13" s="17" t="s">
        <v>433</v>
      </c>
      <c r="B13" s="18" t="s">
        <v>891</v>
      </c>
    </row>
    <row r="14" ht="18.0" customHeight="1">
      <c r="A14" s="15" t="s">
        <v>435</v>
      </c>
      <c r="B14" s="16" t="s">
        <v>714</v>
      </c>
    </row>
    <row r="15" ht="18.0" customHeight="1">
      <c r="A15" s="17" t="s">
        <v>437</v>
      </c>
      <c r="B15" s="18" t="s">
        <v>716</v>
      </c>
    </row>
    <row r="17" ht="19.5" customHeight="1">
      <c r="A17" s="13" t="s">
        <v>441</v>
      </c>
      <c r="B17" s="14"/>
    </row>
    <row r="18" ht="60.0" customHeight="1">
      <c r="A18" s="15" t="s">
        <v>900</v>
      </c>
      <c r="B18" s="16" t="s">
        <v>903</v>
      </c>
    </row>
    <row r="19" ht="45.0" customHeight="1">
      <c r="A19" s="17" t="s">
        <v>905</v>
      </c>
      <c r="B19" s="18" t="s">
        <v>906</v>
      </c>
    </row>
    <row r="20" ht="30.0" customHeight="1">
      <c r="A20" s="15" t="s">
        <v>908</v>
      </c>
      <c r="B20" s="16" t="s">
        <v>911</v>
      </c>
    </row>
    <row r="21" ht="45.0" customHeight="1">
      <c r="A21" s="17" t="s">
        <v>914</v>
      </c>
      <c r="B21" s="18" t="s">
        <v>915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916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917</v>
      </c>
    </row>
    <row r="28" ht="18.0" customHeight="1">
      <c r="A28" s="15" t="s">
        <v>471</v>
      </c>
      <c r="B28" s="16" t="s">
        <v>918</v>
      </c>
    </row>
    <row r="29" ht="18.0" customHeight="1">
      <c r="A29" s="17" t="s">
        <v>473</v>
      </c>
      <c r="B29" s="18" t="s">
        <v>919</v>
      </c>
    </row>
    <row r="30" ht="18.0" customHeight="1">
      <c r="A30" s="15" t="s">
        <v>475</v>
      </c>
      <c r="B30" s="16" t="s">
        <v>920</v>
      </c>
    </row>
    <row r="31" ht="18.0" customHeight="1">
      <c r="A31" s="17" t="s">
        <v>477</v>
      </c>
      <c r="B31" s="18" t="s">
        <v>921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922</v>
      </c>
    </row>
    <row r="36" ht="18.0" customHeight="1">
      <c r="A36" s="15" t="s">
        <v>489</v>
      </c>
      <c r="B36" s="16" t="s">
        <v>923</v>
      </c>
    </row>
    <row r="37" ht="18.0" customHeight="1">
      <c r="A37" s="17" t="s">
        <v>491</v>
      </c>
      <c r="B37" s="18" t="s">
        <v>924</v>
      </c>
    </row>
    <row r="38" ht="18.0" customHeight="1">
      <c r="A38" s="15" t="s">
        <v>493</v>
      </c>
      <c r="B38" s="16" t="s">
        <v>925</v>
      </c>
    </row>
    <row r="39" ht="18.0" customHeight="1">
      <c r="A39" s="17" t="s">
        <v>498</v>
      </c>
      <c r="B39" s="18" t="s">
        <v>926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927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929</v>
      </c>
    </row>
    <row r="5" ht="18.0" customHeight="1">
      <c r="A5" s="17" t="s">
        <v>413</v>
      </c>
      <c r="B5" s="18" t="s">
        <v>574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931</v>
      </c>
    </row>
    <row r="11" ht="18.0" customHeight="1">
      <c r="A11" s="17" t="s">
        <v>428</v>
      </c>
      <c r="B11" s="18" t="s">
        <v>932</v>
      </c>
    </row>
    <row r="12" ht="18.0" customHeight="1">
      <c r="A12" s="15" t="s">
        <v>430</v>
      </c>
      <c r="B12" s="16" t="s">
        <v>933</v>
      </c>
    </row>
    <row r="13" ht="18.0" customHeight="1">
      <c r="A13" s="17" t="s">
        <v>433</v>
      </c>
      <c r="B13" s="18" t="s">
        <v>934</v>
      </c>
    </row>
    <row r="14" ht="18.0" customHeight="1">
      <c r="A14" s="15" t="s">
        <v>435</v>
      </c>
      <c r="B14" s="16" t="s">
        <v>558</v>
      </c>
    </row>
    <row r="15" ht="18.0" customHeight="1">
      <c r="A15" s="17" t="s">
        <v>437</v>
      </c>
      <c r="B15" s="18" t="s">
        <v>559</v>
      </c>
    </row>
    <row r="17" ht="19.5" customHeight="1">
      <c r="A17" s="13" t="s">
        <v>441</v>
      </c>
      <c r="B17" s="14"/>
    </row>
    <row r="18" ht="60.0" customHeight="1">
      <c r="A18" s="15" t="s">
        <v>936</v>
      </c>
      <c r="B18" s="16" t="s">
        <v>937</v>
      </c>
    </row>
    <row r="19" ht="60.0" customHeight="1">
      <c r="A19" s="17" t="s">
        <v>938</v>
      </c>
      <c r="B19" s="18" t="s">
        <v>939</v>
      </c>
    </row>
    <row r="20" ht="45.0" customHeight="1">
      <c r="A20" s="15" t="s">
        <v>940</v>
      </c>
      <c r="B20" s="16" t="s">
        <v>941</v>
      </c>
    </row>
    <row r="21" ht="45.0" customHeight="1">
      <c r="A21" s="17" t="s">
        <v>942</v>
      </c>
      <c r="B21" s="18" t="s">
        <v>943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947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953</v>
      </c>
    </row>
    <row r="28" ht="18.0" customHeight="1">
      <c r="A28" s="15" t="s">
        <v>471</v>
      </c>
      <c r="B28" s="16" t="s">
        <v>955</v>
      </c>
    </row>
    <row r="29" ht="18.0" customHeight="1">
      <c r="A29" s="17" t="s">
        <v>473</v>
      </c>
      <c r="B29" s="18" t="s">
        <v>956</v>
      </c>
    </row>
    <row r="30" ht="18.0" customHeight="1">
      <c r="A30" s="15" t="s">
        <v>475</v>
      </c>
      <c r="B30" s="16" t="s">
        <v>957</v>
      </c>
    </row>
    <row r="31" ht="18.0" customHeight="1">
      <c r="A31" s="17" t="s">
        <v>477</v>
      </c>
      <c r="B31" s="18" t="s">
        <v>960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964</v>
      </c>
    </row>
    <row r="36" ht="18.0" customHeight="1">
      <c r="A36" s="15" t="s">
        <v>489</v>
      </c>
      <c r="B36" s="16" t="s">
        <v>967</v>
      </c>
    </row>
    <row r="37" ht="18.0" customHeight="1">
      <c r="A37" s="17" t="s">
        <v>491</v>
      </c>
      <c r="B37" s="18" t="s">
        <v>969</v>
      </c>
    </row>
    <row r="38" ht="18.0" customHeight="1">
      <c r="A38" s="15" t="s">
        <v>493</v>
      </c>
      <c r="B38" s="16" t="s">
        <v>970</v>
      </c>
    </row>
    <row r="39" ht="18.0" customHeight="1">
      <c r="A39" s="17" t="s">
        <v>498</v>
      </c>
      <c r="B39" s="18" t="s">
        <v>972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928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930</v>
      </c>
    </row>
    <row r="5" ht="18.0" customHeight="1">
      <c r="A5" s="17" t="s">
        <v>413</v>
      </c>
      <c r="B5" s="18" t="s">
        <v>666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935</v>
      </c>
    </row>
    <row r="12" ht="18.0" customHeight="1">
      <c r="A12" s="15" t="s">
        <v>428</v>
      </c>
      <c r="B12" s="16" t="s">
        <v>791</v>
      </c>
    </row>
    <row r="13" ht="18.0" customHeight="1">
      <c r="A13" s="17" t="s">
        <v>430</v>
      </c>
      <c r="B13" s="18" t="s">
        <v>537</v>
      </c>
    </row>
    <row r="14" ht="18.0" customHeight="1">
      <c r="A14" s="15" t="s">
        <v>433</v>
      </c>
      <c r="B14" s="16" t="s">
        <v>556</v>
      </c>
    </row>
    <row r="15" ht="18.0" customHeight="1">
      <c r="A15" s="17" t="s">
        <v>435</v>
      </c>
      <c r="B15" s="18" t="s">
        <v>714</v>
      </c>
    </row>
    <row r="16" ht="18.0" customHeight="1">
      <c r="A16" s="15" t="s">
        <v>437</v>
      </c>
      <c r="B16" s="16" t="s">
        <v>716</v>
      </c>
    </row>
    <row r="18" ht="19.5" customHeight="1">
      <c r="A18" s="13" t="s">
        <v>441</v>
      </c>
      <c r="B18" s="14"/>
    </row>
    <row r="19" ht="60.0" customHeight="1">
      <c r="A19" s="15" t="s">
        <v>945</v>
      </c>
      <c r="B19" s="16" t="s">
        <v>946</v>
      </c>
    </row>
    <row r="20" ht="60.0" customHeight="1">
      <c r="A20" s="17" t="s">
        <v>948</v>
      </c>
      <c r="B20" s="18" t="s">
        <v>949</v>
      </c>
    </row>
    <row r="21" ht="45.0" customHeight="1">
      <c r="A21" s="15" t="s">
        <v>950</v>
      </c>
      <c r="B21" s="16" t="s">
        <v>951</v>
      </c>
    </row>
    <row r="22" ht="45.0" customHeight="1">
      <c r="A22" s="17" t="s">
        <v>952</v>
      </c>
      <c r="B22" s="18" t="s">
        <v>954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958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961</v>
      </c>
    </row>
    <row r="29" ht="18.0" customHeight="1">
      <c r="A29" s="15" t="s">
        <v>471</v>
      </c>
      <c r="B29" s="16" t="s">
        <v>962</v>
      </c>
    </row>
    <row r="30" ht="18.0" customHeight="1">
      <c r="A30" s="17" t="s">
        <v>473</v>
      </c>
      <c r="B30" s="18" t="s">
        <v>963</v>
      </c>
    </row>
    <row r="31" ht="18.0" customHeight="1">
      <c r="A31" s="15" t="s">
        <v>475</v>
      </c>
      <c r="B31" s="16" t="s">
        <v>966</v>
      </c>
    </row>
    <row r="32" ht="18.0" customHeight="1">
      <c r="A32" s="17" t="s">
        <v>477</v>
      </c>
      <c r="B32" s="18" t="s">
        <v>968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973</v>
      </c>
    </row>
    <row r="37" ht="18.0" customHeight="1">
      <c r="A37" s="15" t="s">
        <v>489</v>
      </c>
      <c r="B37" s="16" t="s">
        <v>974</v>
      </c>
    </row>
    <row r="38" ht="18.0" customHeight="1">
      <c r="A38" s="17" t="s">
        <v>491</v>
      </c>
      <c r="B38" s="18" t="s">
        <v>687</v>
      </c>
    </row>
    <row r="39" ht="18.0" customHeight="1">
      <c r="A39" s="15" t="s">
        <v>493</v>
      </c>
      <c r="B39" s="16" t="s">
        <v>970</v>
      </c>
    </row>
    <row r="40" ht="18.0" customHeight="1">
      <c r="A40" s="17" t="s">
        <v>498</v>
      </c>
      <c r="B40" s="18" t="s">
        <v>579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944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959</v>
      </c>
    </row>
    <row r="5" ht="18.0" customHeight="1">
      <c r="A5" s="17" t="s">
        <v>413</v>
      </c>
      <c r="B5" s="18" t="s">
        <v>833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971</v>
      </c>
    </row>
    <row r="11" ht="18.0" customHeight="1">
      <c r="A11" s="17" t="s">
        <v>428</v>
      </c>
      <c r="B11" s="18" t="s">
        <v>695</v>
      </c>
    </row>
    <row r="12" ht="18.0" customHeight="1">
      <c r="A12" s="15" t="s">
        <v>430</v>
      </c>
      <c r="B12" s="16" t="s">
        <v>976</v>
      </c>
    </row>
    <row r="13" ht="18.0" customHeight="1">
      <c r="A13" s="17" t="s">
        <v>433</v>
      </c>
      <c r="B13" s="18" t="s">
        <v>977</v>
      </c>
    </row>
    <row r="14" ht="18.0" customHeight="1">
      <c r="A14" s="15" t="s">
        <v>435</v>
      </c>
      <c r="B14" s="16" t="s">
        <v>445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45.0" customHeight="1">
      <c r="A18" s="15" t="s">
        <v>980</v>
      </c>
      <c r="B18" s="16" t="s">
        <v>981</v>
      </c>
    </row>
    <row r="19" ht="75.0" customHeight="1">
      <c r="A19" s="17" t="s">
        <v>983</v>
      </c>
      <c r="B19" s="18" t="s">
        <v>985</v>
      </c>
    </row>
    <row r="20" ht="45.0" customHeight="1">
      <c r="A20" s="15" t="s">
        <v>986</v>
      </c>
      <c r="B20" s="16" t="s">
        <v>987</v>
      </c>
    </row>
    <row r="21" ht="45.0" customHeight="1">
      <c r="A21" s="17" t="s">
        <v>988</v>
      </c>
      <c r="B21" s="18" t="s">
        <v>989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993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999</v>
      </c>
    </row>
    <row r="28" ht="18.0" customHeight="1">
      <c r="A28" s="15" t="s">
        <v>471</v>
      </c>
      <c r="B28" s="16" t="s">
        <v>1000</v>
      </c>
    </row>
    <row r="29" ht="18.0" customHeight="1">
      <c r="A29" s="17" t="s">
        <v>473</v>
      </c>
      <c r="B29" s="18" t="s">
        <v>1002</v>
      </c>
    </row>
    <row r="30" ht="18.0" customHeight="1">
      <c r="A30" s="15" t="s">
        <v>475</v>
      </c>
      <c r="B30" s="16" t="s">
        <v>1003</v>
      </c>
    </row>
    <row r="31" ht="18.0" customHeight="1">
      <c r="A31" s="17" t="s">
        <v>477</v>
      </c>
      <c r="B31" s="18" t="s">
        <v>479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1009</v>
      </c>
    </row>
    <row r="36" ht="18.0" customHeight="1">
      <c r="A36" s="15" t="s">
        <v>489</v>
      </c>
      <c r="B36" s="16" t="s">
        <v>1010</v>
      </c>
    </row>
    <row r="37" ht="18.0" customHeight="1">
      <c r="A37" s="17" t="s">
        <v>491</v>
      </c>
      <c r="B37" s="18" t="s">
        <v>1011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1015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965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975</v>
      </c>
    </row>
    <row r="5" ht="18.0" customHeight="1">
      <c r="A5" s="17" t="s">
        <v>413</v>
      </c>
      <c r="B5" s="18" t="s">
        <v>614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978</v>
      </c>
    </row>
    <row r="11" ht="18.0" customHeight="1">
      <c r="A11" s="17" t="s">
        <v>428</v>
      </c>
      <c r="B11" s="18" t="s">
        <v>979</v>
      </c>
    </row>
    <row r="12" ht="18.0" customHeight="1">
      <c r="A12" s="15" t="s">
        <v>430</v>
      </c>
      <c r="B12" s="16" t="s">
        <v>982</v>
      </c>
    </row>
    <row r="13" ht="18.0" customHeight="1">
      <c r="A13" s="17" t="s">
        <v>433</v>
      </c>
      <c r="B13" s="18" t="s">
        <v>984</v>
      </c>
    </row>
    <row r="14" ht="18.0" customHeight="1">
      <c r="A14" s="15" t="s">
        <v>435</v>
      </c>
      <c r="B14" s="16" t="s">
        <v>445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60.0" customHeight="1">
      <c r="A18" s="15" t="s">
        <v>990</v>
      </c>
      <c r="B18" s="16" t="s">
        <v>991</v>
      </c>
    </row>
    <row r="19" ht="75.0" customHeight="1">
      <c r="A19" s="17" t="s">
        <v>992</v>
      </c>
      <c r="B19" s="18" t="s">
        <v>994</v>
      </c>
    </row>
    <row r="20" ht="60.0" customHeight="1">
      <c r="A20" s="15" t="s">
        <v>995</v>
      </c>
      <c r="B20" s="16" t="s">
        <v>996</v>
      </c>
    </row>
    <row r="21" ht="45.0" customHeight="1">
      <c r="A21" s="17" t="s">
        <v>997</v>
      </c>
      <c r="B21" s="18" t="s">
        <v>998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1001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1004</v>
      </c>
    </row>
    <row r="28" ht="18.0" customHeight="1">
      <c r="A28" s="15" t="s">
        <v>471</v>
      </c>
      <c r="B28" s="16" t="s">
        <v>1005</v>
      </c>
    </row>
    <row r="29" ht="18.0" customHeight="1">
      <c r="A29" s="17" t="s">
        <v>473</v>
      </c>
      <c r="B29" s="18" t="s">
        <v>1006</v>
      </c>
    </row>
    <row r="30" ht="18.0" customHeight="1">
      <c r="A30" s="15" t="s">
        <v>475</v>
      </c>
      <c r="B30" s="16" t="s">
        <v>1007</v>
      </c>
    </row>
    <row r="31" ht="18.0" customHeight="1">
      <c r="A31" s="17" t="s">
        <v>477</v>
      </c>
      <c r="B31" s="18" t="s">
        <v>1008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1012</v>
      </c>
    </row>
    <row r="36" ht="18.0" customHeight="1">
      <c r="A36" s="15" t="s">
        <v>489</v>
      </c>
      <c r="B36" s="16" t="s">
        <v>1013</v>
      </c>
    </row>
    <row r="37" ht="18.0" customHeight="1">
      <c r="A37" s="17" t="s">
        <v>491</v>
      </c>
      <c r="B37" s="18" t="s">
        <v>1014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529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1016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1018</v>
      </c>
    </row>
    <row r="5" ht="18.0" customHeight="1">
      <c r="A5" s="17" t="s">
        <v>413</v>
      </c>
      <c r="B5" s="18" t="s">
        <v>833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1020</v>
      </c>
    </row>
    <row r="11" ht="18.0" customHeight="1">
      <c r="A11" s="17" t="s">
        <v>428</v>
      </c>
      <c r="B11" s="18" t="s">
        <v>645</v>
      </c>
    </row>
    <row r="12" ht="18.0" customHeight="1">
      <c r="A12" s="15" t="s">
        <v>430</v>
      </c>
      <c r="B12" s="16" t="s">
        <v>783</v>
      </c>
    </row>
    <row r="13" ht="18.0" customHeight="1">
      <c r="A13" s="17" t="s">
        <v>433</v>
      </c>
      <c r="B13" s="18" t="s">
        <v>589</v>
      </c>
    </row>
    <row r="14" ht="18.0" customHeight="1">
      <c r="A14" s="15" t="s">
        <v>435</v>
      </c>
      <c r="B14" s="16" t="s">
        <v>1022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60.0" customHeight="1">
      <c r="A18" s="15" t="s">
        <v>1026</v>
      </c>
      <c r="B18" s="16" t="s">
        <v>1028</v>
      </c>
    </row>
    <row r="19" ht="60.0" customHeight="1">
      <c r="A19" s="17" t="s">
        <v>1029</v>
      </c>
      <c r="B19" s="18" t="s">
        <v>1030</v>
      </c>
    </row>
    <row r="20" ht="45.0" customHeight="1">
      <c r="A20" s="15" t="s">
        <v>1031</v>
      </c>
      <c r="B20" s="16" t="s">
        <v>1032</v>
      </c>
    </row>
    <row r="21" ht="45.0" customHeight="1">
      <c r="A21" s="17" t="s">
        <v>1033</v>
      </c>
      <c r="B21" s="18" t="s">
        <v>1034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1035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1039</v>
      </c>
    </row>
    <row r="28" ht="18.0" customHeight="1">
      <c r="A28" s="15" t="s">
        <v>471</v>
      </c>
      <c r="B28" s="16" t="s">
        <v>1041</v>
      </c>
    </row>
    <row r="29" ht="18.0" customHeight="1">
      <c r="A29" s="17" t="s">
        <v>473</v>
      </c>
      <c r="B29" s="18" t="s">
        <v>1043</v>
      </c>
    </row>
    <row r="30" ht="18.0" customHeight="1">
      <c r="A30" s="15" t="s">
        <v>475</v>
      </c>
      <c r="B30" s="16" t="s">
        <v>1046</v>
      </c>
    </row>
    <row r="31" ht="18.0" customHeight="1">
      <c r="A31" s="17" t="s">
        <v>477</v>
      </c>
      <c r="B31" s="18" t="s">
        <v>885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1049</v>
      </c>
    </row>
    <row r="36" ht="18.0" customHeight="1">
      <c r="A36" s="15" t="s">
        <v>489</v>
      </c>
      <c r="B36" s="16" t="s">
        <v>1050</v>
      </c>
    </row>
    <row r="37" ht="18.0" customHeight="1">
      <c r="A37" s="17" t="s">
        <v>491</v>
      </c>
      <c r="B37" s="18" t="s">
        <v>1052</v>
      </c>
    </row>
    <row r="38" ht="18.0" customHeight="1">
      <c r="A38" s="15" t="s">
        <v>493</v>
      </c>
      <c r="B38" s="16" t="s">
        <v>1053</v>
      </c>
    </row>
    <row r="39" ht="18.0" customHeight="1">
      <c r="A39" s="17" t="s">
        <v>498</v>
      </c>
      <c r="B39" s="18" t="s">
        <v>1055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1017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1019</v>
      </c>
    </row>
    <row r="5" ht="18.0" customHeight="1">
      <c r="A5" s="17" t="s">
        <v>413</v>
      </c>
      <c r="B5" s="18" t="s">
        <v>1021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1025</v>
      </c>
    </row>
    <row r="11" ht="18.0" customHeight="1">
      <c r="A11" s="17" t="s">
        <v>428</v>
      </c>
      <c r="B11" s="18" t="s">
        <v>1027</v>
      </c>
    </row>
    <row r="12" ht="18.0" customHeight="1">
      <c r="A12" s="15" t="s">
        <v>430</v>
      </c>
      <c r="B12" s="16" t="s">
        <v>555</v>
      </c>
    </row>
    <row r="13" ht="18.0" customHeight="1">
      <c r="A13" s="17" t="s">
        <v>433</v>
      </c>
      <c r="B13" s="18" t="s">
        <v>712</v>
      </c>
    </row>
    <row r="14" ht="18.0" customHeight="1">
      <c r="A14" s="15" t="s">
        <v>435</v>
      </c>
      <c r="B14" s="16" t="s">
        <v>539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60.0" customHeight="1">
      <c r="A18" s="15" t="s">
        <v>1036</v>
      </c>
      <c r="B18" s="16" t="s">
        <v>1037</v>
      </c>
    </row>
    <row r="19" ht="60.0" customHeight="1">
      <c r="A19" s="17" t="s">
        <v>1038</v>
      </c>
      <c r="B19" s="18" t="s">
        <v>1040</v>
      </c>
    </row>
    <row r="20" ht="60.0" customHeight="1">
      <c r="A20" s="15" t="s">
        <v>1042</v>
      </c>
      <c r="B20" s="16" t="s">
        <v>1044</v>
      </c>
    </row>
    <row r="21" ht="30.0" customHeight="1">
      <c r="A21" s="17" t="s">
        <v>1045</v>
      </c>
      <c r="B21" s="18" t="s">
        <v>1047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1048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1051</v>
      </c>
    </row>
    <row r="28" ht="18.0" customHeight="1">
      <c r="A28" s="15" t="s">
        <v>471</v>
      </c>
      <c r="B28" s="16" t="s">
        <v>1054</v>
      </c>
    </row>
    <row r="29" ht="18.0" customHeight="1">
      <c r="A29" s="17" t="s">
        <v>473</v>
      </c>
      <c r="B29" s="18" t="s">
        <v>1056</v>
      </c>
    </row>
    <row r="30" ht="18.0" customHeight="1">
      <c r="A30" s="15" t="s">
        <v>475</v>
      </c>
      <c r="B30" s="16" t="s">
        <v>1057</v>
      </c>
    </row>
    <row r="31" ht="18.0" customHeight="1">
      <c r="A31" s="17" t="s">
        <v>477</v>
      </c>
      <c r="B31" s="18" t="s">
        <v>1058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1059</v>
      </c>
    </row>
    <row r="36" ht="18.0" customHeight="1">
      <c r="A36" s="15" t="s">
        <v>489</v>
      </c>
      <c r="B36" s="16" t="s">
        <v>1060</v>
      </c>
    </row>
    <row r="37" ht="18.0" customHeight="1">
      <c r="A37" s="17" t="s">
        <v>491</v>
      </c>
      <c r="B37" s="18" t="s">
        <v>1061</v>
      </c>
    </row>
    <row r="38" ht="18.0" customHeight="1">
      <c r="A38" s="15" t="s">
        <v>493</v>
      </c>
      <c r="B38" s="16" t="s">
        <v>688</v>
      </c>
    </row>
    <row r="39" ht="18.0" customHeight="1">
      <c r="A39" s="17" t="s">
        <v>498</v>
      </c>
      <c r="B39" s="18" t="s">
        <v>1062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1063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1064</v>
      </c>
    </row>
    <row r="5" ht="18.0" customHeight="1">
      <c r="A5" s="17" t="s">
        <v>413</v>
      </c>
      <c r="B5" s="18" t="s">
        <v>1065</v>
      </c>
    </row>
    <row r="6" ht="18.0" customHeight="1">
      <c r="A6" s="15" t="s">
        <v>416</v>
      </c>
      <c r="B6" s="16" t="s">
        <v>427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1066</v>
      </c>
    </row>
    <row r="10" ht="18.0" customHeight="1">
      <c r="A10" s="15" t="s">
        <v>428</v>
      </c>
      <c r="B10" s="16" t="s">
        <v>791</v>
      </c>
    </row>
    <row r="11" ht="18.0" customHeight="1">
      <c r="A11" s="17" t="s">
        <v>430</v>
      </c>
      <c r="B11" s="18" t="s">
        <v>1067</v>
      </c>
    </row>
    <row r="12" ht="18.0" customHeight="1">
      <c r="A12" s="15" t="s">
        <v>433</v>
      </c>
      <c r="B12" s="16" t="s">
        <v>1068</v>
      </c>
    </row>
    <row r="13" ht="18.0" customHeight="1">
      <c r="A13" s="17" t="s">
        <v>435</v>
      </c>
      <c r="B13" s="18" t="s">
        <v>1069</v>
      </c>
    </row>
    <row r="14" ht="18.0" customHeight="1">
      <c r="A14" s="15" t="s">
        <v>437</v>
      </c>
      <c r="B14" s="16" t="s">
        <v>439</v>
      </c>
    </row>
    <row r="16" ht="19.5" customHeight="1">
      <c r="A16" s="13" t="s">
        <v>441</v>
      </c>
      <c r="B16" s="14"/>
    </row>
    <row r="17" ht="45.0" customHeight="1">
      <c r="A17" s="15" t="s">
        <v>543</v>
      </c>
      <c r="B17" s="16" t="s">
        <v>1071</v>
      </c>
    </row>
    <row r="18" ht="60.0" customHeight="1">
      <c r="A18" s="17" t="s">
        <v>545</v>
      </c>
      <c r="B18" s="18" t="s">
        <v>1072</v>
      </c>
    </row>
    <row r="19" ht="60.0" customHeight="1">
      <c r="A19" s="15" t="s">
        <v>548</v>
      </c>
      <c r="B19" s="16" t="s">
        <v>1073</v>
      </c>
    </row>
    <row r="20" ht="45.0" customHeight="1">
      <c r="A20" s="17" t="s">
        <v>1074</v>
      </c>
      <c r="B20" s="18" t="s">
        <v>1075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1076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1079</v>
      </c>
    </row>
    <row r="27" ht="18.0" customHeight="1">
      <c r="A27" s="15" t="s">
        <v>471</v>
      </c>
      <c r="B27" s="16" t="s">
        <v>1080</v>
      </c>
    </row>
    <row r="28" ht="18.0" customHeight="1">
      <c r="A28" s="17" t="s">
        <v>473</v>
      </c>
      <c r="B28" s="18" t="s">
        <v>1081</v>
      </c>
    </row>
    <row r="29" ht="18.0" customHeight="1">
      <c r="A29" s="15" t="s">
        <v>475</v>
      </c>
      <c r="B29" s="16" t="s">
        <v>1083</v>
      </c>
    </row>
    <row r="30" ht="18.0" customHeight="1">
      <c r="A30" s="17" t="s">
        <v>477</v>
      </c>
      <c r="B30" s="18" t="s">
        <v>1084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1088</v>
      </c>
    </row>
    <row r="35" ht="18.0" customHeight="1">
      <c r="A35" s="15" t="s">
        <v>489</v>
      </c>
      <c r="B35" s="16" t="s">
        <v>1091</v>
      </c>
    </row>
    <row r="36" ht="18.0" customHeight="1">
      <c r="A36" s="17" t="s">
        <v>491</v>
      </c>
      <c r="B36" s="18" t="s">
        <v>687</v>
      </c>
    </row>
    <row r="37" ht="18.0" customHeight="1">
      <c r="A37" s="15" t="s">
        <v>493</v>
      </c>
      <c r="B37" s="16" t="s">
        <v>688</v>
      </c>
    </row>
    <row r="38" ht="18.0" customHeight="1">
      <c r="A38" s="17" t="s">
        <v>498</v>
      </c>
      <c r="B38" s="18" t="s">
        <v>689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1070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1077</v>
      </c>
    </row>
    <row r="5" ht="18.0" customHeight="1">
      <c r="A5" s="17" t="s">
        <v>413</v>
      </c>
      <c r="B5" s="18" t="s">
        <v>1078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1082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710</v>
      </c>
    </row>
    <row r="12" ht="18.0" customHeight="1">
      <c r="A12" s="15" t="s">
        <v>430</v>
      </c>
      <c r="B12" s="16" t="s">
        <v>851</v>
      </c>
    </row>
    <row r="13" ht="18.0" customHeight="1">
      <c r="A13" s="17" t="s">
        <v>433</v>
      </c>
      <c r="B13" s="18" t="s">
        <v>1085</v>
      </c>
    </row>
    <row r="14" ht="18.0" customHeight="1">
      <c r="A14" s="15" t="s">
        <v>435</v>
      </c>
      <c r="B14" s="16" t="s">
        <v>1086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75.0" customHeight="1">
      <c r="A18" s="15" t="s">
        <v>1089</v>
      </c>
      <c r="B18" s="16" t="s">
        <v>1090</v>
      </c>
    </row>
    <row r="19" ht="60.0" customHeight="1">
      <c r="A19" s="17" t="s">
        <v>1092</v>
      </c>
      <c r="B19" s="18" t="s">
        <v>1093</v>
      </c>
    </row>
    <row r="20" ht="60.0" customHeight="1">
      <c r="A20" s="15" t="s">
        <v>1094</v>
      </c>
      <c r="B20" s="16" t="s">
        <v>1095</v>
      </c>
    </row>
    <row r="21" ht="45.0" customHeight="1">
      <c r="A21" s="17" t="s">
        <v>1096</v>
      </c>
      <c r="B21" s="18" t="s">
        <v>1097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1098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1099</v>
      </c>
    </row>
    <row r="28" ht="18.0" customHeight="1">
      <c r="A28" s="15" t="s">
        <v>471</v>
      </c>
      <c r="B28" s="16" t="s">
        <v>1100</v>
      </c>
    </row>
    <row r="29" ht="18.0" customHeight="1">
      <c r="A29" s="17" t="s">
        <v>473</v>
      </c>
      <c r="B29" s="18" t="s">
        <v>1101</v>
      </c>
    </row>
    <row r="30" ht="18.0" customHeight="1">
      <c r="A30" s="15" t="s">
        <v>475</v>
      </c>
      <c r="B30" s="16" t="s">
        <v>1102</v>
      </c>
    </row>
    <row r="31" ht="18.0" customHeight="1">
      <c r="A31" s="17" t="s">
        <v>477</v>
      </c>
      <c r="B31" s="18" t="s">
        <v>1103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1104</v>
      </c>
    </row>
    <row r="36" ht="18.0" customHeight="1">
      <c r="A36" s="15" t="s">
        <v>489</v>
      </c>
      <c r="B36" s="16" t="s">
        <v>1105</v>
      </c>
    </row>
    <row r="37" ht="18.0" customHeight="1">
      <c r="A37" s="17" t="s">
        <v>491</v>
      </c>
      <c r="B37" s="18" t="s">
        <v>1106</v>
      </c>
    </row>
    <row r="38" ht="18.0" customHeight="1">
      <c r="A38" s="15" t="s">
        <v>493</v>
      </c>
      <c r="B38" s="16" t="s">
        <v>688</v>
      </c>
    </row>
    <row r="39" ht="18.0" customHeight="1">
      <c r="A39" s="17" t="s">
        <v>498</v>
      </c>
      <c r="B39" s="18" t="s">
        <v>1107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1108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1109</v>
      </c>
    </row>
    <row r="5" ht="18.0" customHeight="1">
      <c r="A5" s="17" t="s">
        <v>413</v>
      </c>
      <c r="B5" s="18" t="s">
        <v>1065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1110</v>
      </c>
    </row>
    <row r="11" ht="18.0" customHeight="1">
      <c r="A11" s="17" t="s">
        <v>428</v>
      </c>
      <c r="B11" s="18" t="s">
        <v>440</v>
      </c>
    </row>
    <row r="12" ht="18.0" customHeight="1">
      <c r="A12" s="15" t="s">
        <v>430</v>
      </c>
      <c r="B12" s="16" t="s">
        <v>1111</v>
      </c>
    </row>
    <row r="13" ht="18.0" customHeight="1">
      <c r="A13" s="17" t="s">
        <v>433</v>
      </c>
      <c r="B13" s="18" t="s">
        <v>556</v>
      </c>
    </row>
    <row r="14" ht="18.0" customHeight="1">
      <c r="A14" s="15" t="s">
        <v>435</v>
      </c>
      <c r="B14" s="16" t="s">
        <v>1112</v>
      </c>
    </row>
    <row r="15" ht="18.0" customHeight="1">
      <c r="A15" s="17" t="s">
        <v>437</v>
      </c>
      <c r="B15" s="18" t="s">
        <v>559</v>
      </c>
    </row>
    <row r="17" ht="19.5" customHeight="1">
      <c r="A17" s="13" t="s">
        <v>441</v>
      </c>
      <c r="B17" s="14"/>
    </row>
    <row r="18" ht="45.0" customHeight="1">
      <c r="A18" s="15" t="s">
        <v>543</v>
      </c>
      <c r="B18" s="16" t="s">
        <v>1114</v>
      </c>
    </row>
    <row r="19" ht="60.0" customHeight="1">
      <c r="A19" s="17" t="s">
        <v>545</v>
      </c>
      <c r="B19" s="18" t="s">
        <v>1115</v>
      </c>
    </row>
    <row r="20" ht="30.0" customHeight="1">
      <c r="A20" s="15" t="s">
        <v>1116</v>
      </c>
      <c r="B20" s="16" t="s">
        <v>1117</v>
      </c>
    </row>
    <row r="21" ht="30.0" customHeight="1">
      <c r="A21" s="17" t="s">
        <v>1118</v>
      </c>
      <c r="B21" s="18" t="s">
        <v>1119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1122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1123</v>
      </c>
    </row>
    <row r="28" ht="18.0" customHeight="1">
      <c r="A28" s="15" t="s">
        <v>471</v>
      </c>
      <c r="B28" s="16" t="s">
        <v>1125</v>
      </c>
    </row>
    <row r="29" ht="18.0" customHeight="1">
      <c r="A29" s="17" t="s">
        <v>473</v>
      </c>
      <c r="B29" s="18" t="s">
        <v>1127</v>
      </c>
    </row>
    <row r="30" ht="18.0" customHeight="1">
      <c r="A30" s="15" t="s">
        <v>475</v>
      </c>
      <c r="B30" s="16" t="s">
        <v>1128</v>
      </c>
    </row>
    <row r="31" ht="18.0" customHeight="1">
      <c r="A31" s="17" t="s">
        <v>477</v>
      </c>
      <c r="B31" s="18" t="s">
        <v>1130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1132</v>
      </c>
    </row>
    <row r="36" ht="18.0" customHeight="1">
      <c r="A36" s="15" t="s">
        <v>489</v>
      </c>
      <c r="B36" s="16" t="s">
        <v>1133</v>
      </c>
    </row>
    <row r="37" ht="18.0" customHeight="1">
      <c r="A37" s="17" t="s">
        <v>491</v>
      </c>
      <c r="B37" s="18" t="s">
        <v>1134</v>
      </c>
    </row>
    <row r="38" ht="18.0" customHeight="1">
      <c r="A38" s="15" t="s">
        <v>493</v>
      </c>
      <c r="B38" s="16" t="s">
        <v>1135</v>
      </c>
    </row>
    <row r="39" ht="18.0" customHeight="1">
      <c r="A39" s="17" t="s">
        <v>498</v>
      </c>
      <c r="B39" s="18" t="s">
        <v>1136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1113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1120</v>
      </c>
    </row>
    <row r="5" ht="18.0" customHeight="1">
      <c r="A5" s="17" t="s">
        <v>413</v>
      </c>
      <c r="B5" s="18" t="s">
        <v>1121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425</v>
      </c>
      <c r="B9" s="18" t="s">
        <v>1124</v>
      </c>
    </row>
    <row r="10" ht="18.0" customHeight="1">
      <c r="A10" s="15" t="s">
        <v>428</v>
      </c>
      <c r="B10" s="16" t="s">
        <v>1126</v>
      </c>
    </row>
    <row r="11" ht="18.0" customHeight="1">
      <c r="A11" s="17" t="s">
        <v>430</v>
      </c>
      <c r="B11" s="18" t="s">
        <v>783</v>
      </c>
    </row>
    <row r="12" ht="18.0" customHeight="1">
      <c r="A12" s="15" t="s">
        <v>433</v>
      </c>
      <c r="B12" s="16" t="s">
        <v>1129</v>
      </c>
    </row>
    <row r="13" ht="18.0" customHeight="1">
      <c r="A13" s="17" t="s">
        <v>435</v>
      </c>
      <c r="B13" s="18" t="s">
        <v>1131</v>
      </c>
    </row>
    <row r="14" ht="18.0" customHeight="1">
      <c r="A14" s="15" t="s">
        <v>437</v>
      </c>
      <c r="B14" s="16" t="s">
        <v>1087</v>
      </c>
    </row>
    <row r="16" ht="19.5" customHeight="1">
      <c r="A16" s="13" t="s">
        <v>441</v>
      </c>
      <c r="B16" s="14"/>
    </row>
    <row r="17" ht="45.0" customHeight="1">
      <c r="A17" s="15" t="s">
        <v>1137</v>
      </c>
      <c r="B17" s="16" t="s">
        <v>1138</v>
      </c>
    </row>
    <row r="18" ht="60.0" customHeight="1">
      <c r="A18" s="17" t="s">
        <v>1139</v>
      </c>
      <c r="B18" s="18" t="s">
        <v>1140</v>
      </c>
    </row>
    <row r="19" ht="60.0" customHeight="1">
      <c r="A19" s="15" t="s">
        <v>1141</v>
      </c>
      <c r="B19" s="16" t="s">
        <v>1142</v>
      </c>
    </row>
    <row r="20" ht="30.0" customHeight="1">
      <c r="A20" s="17" t="s">
        <v>1143</v>
      </c>
      <c r="B20" s="18" t="s">
        <v>1144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1145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1146</v>
      </c>
    </row>
    <row r="27" ht="18.0" customHeight="1">
      <c r="A27" s="15" t="s">
        <v>471</v>
      </c>
      <c r="B27" s="16" t="s">
        <v>1147</v>
      </c>
    </row>
    <row r="28" ht="18.0" customHeight="1">
      <c r="A28" s="17" t="s">
        <v>473</v>
      </c>
      <c r="B28" s="18" t="s">
        <v>1148</v>
      </c>
    </row>
    <row r="29" ht="18.0" customHeight="1">
      <c r="A29" s="15" t="s">
        <v>475</v>
      </c>
      <c r="B29" s="16" t="s">
        <v>1149</v>
      </c>
    </row>
    <row r="30" ht="18.0" customHeight="1">
      <c r="A30" s="17" t="s">
        <v>477</v>
      </c>
      <c r="B30" s="18" t="s">
        <v>1150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1151</v>
      </c>
    </row>
    <row r="35" ht="18.0" customHeight="1">
      <c r="A35" s="15" t="s">
        <v>489</v>
      </c>
      <c r="B35" s="16" t="s">
        <v>1152</v>
      </c>
    </row>
    <row r="36" ht="18.0" customHeight="1">
      <c r="A36" s="17" t="s">
        <v>491</v>
      </c>
      <c r="B36" s="18" t="s">
        <v>1106</v>
      </c>
    </row>
    <row r="37" ht="18.0" customHeight="1">
      <c r="A37" s="15" t="s">
        <v>493</v>
      </c>
      <c r="B37" s="16" t="s">
        <v>1153</v>
      </c>
    </row>
    <row r="38" ht="18.0" customHeight="1">
      <c r="A38" s="17" t="s">
        <v>498</v>
      </c>
      <c r="B38" s="18" t="s">
        <v>1154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1155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1156</v>
      </c>
    </row>
    <row r="5" ht="18.0" customHeight="1">
      <c r="A5" s="17" t="s">
        <v>413</v>
      </c>
      <c r="B5" s="18" t="s">
        <v>1157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1159</v>
      </c>
    </row>
    <row r="12" ht="18.0" customHeight="1">
      <c r="A12" s="15" t="s">
        <v>428</v>
      </c>
      <c r="B12" s="16" t="s">
        <v>710</v>
      </c>
    </row>
    <row r="13" ht="18.0" customHeight="1">
      <c r="A13" s="17" t="s">
        <v>430</v>
      </c>
      <c r="B13" s="18" t="s">
        <v>537</v>
      </c>
    </row>
    <row r="14" ht="18.0" customHeight="1">
      <c r="A14" s="15" t="s">
        <v>433</v>
      </c>
      <c r="B14" s="16" t="s">
        <v>712</v>
      </c>
    </row>
    <row r="15" ht="18.0" customHeight="1">
      <c r="A15" s="17" t="s">
        <v>435</v>
      </c>
      <c r="B15" s="18" t="s">
        <v>1160</v>
      </c>
    </row>
    <row r="16" ht="18.0" customHeight="1">
      <c r="A16" s="15" t="s">
        <v>437</v>
      </c>
      <c r="B16" s="16" t="s">
        <v>1161</v>
      </c>
    </row>
    <row r="18" ht="19.5" customHeight="1">
      <c r="A18" s="13" t="s">
        <v>441</v>
      </c>
      <c r="B18" s="14"/>
    </row>
    <row r="19" ht="45.0" customHeight="1">
      <c r="A19" s="15" t="s">
        <v>1162</v>
      </c>
      <c r="B19" s="16" t="s">
        <v>1164</v>
      </c>
    </row>
    <row r="20" ht="60.0" customHeight="1">
      <c r="A20" s="17" t="s">
        <v>1165</v>
      </c>
      <c r="B20" s="18" t="s">
        <v>1166</v>
      </c>
    </row>
    <row r="21" ht="30.0" customHeight="1">
      <c r="A21" s="15" t="s">
        <v>1167</v>
      </c>
      <c r="B21" s="16" t="s">
        <v>1168</v>
      </c>
    </row>
    <row r="22" ht="45.0" customHeight="1">
      <c r="A22" s="17" t="s">
        <v>1169</v>
      </c>
      <c r="B22" s="18" t="s">
        <v>1170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1171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1174</v>
      </c>
    </row>
    <row r="29" ht="18.0" customHeight="1">
      <c r="A29" s="15" t="s">
        <v>471</v>
      </c>
      <c r="B29" s="16" t="s">
        <v>1176</v>
      </c>
    </row>
    <row r="30" ht="18.0" customHeight="1">
      <c r="A30" s="17" t="s">
        <v>473</v>
      </c>
      <c r="B30" s="18" t="s">
        <v>1178</v>
      </c>
    </row>
    <row r="31" ht="18.0" customHeight="1">
      <c r="A31" s="15" t="s">
        <v>475</v>
      </c>
      <c r="B31" s="16" t="s">
        <v>1179</v>
      </c>
    </row>
    <row r="32" ht="18.0" customHeight="1">
      <c r="A32" s="17" t="s">
        <v>477</v>
      </c>
      <c r="B32" s="18" t="s">
        <v>1180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1182</v>
      </c>
    </row>
    <row r="37" ht="18.0" customHeight="1">
      <c r="A37" s="15" t="s">
        <v>489</v>
      </c>
      <c r="B37" s="16" t="s">
        <v>1184</v>
      </c>
    </row>
    <row r="38" ht="18.0" customHeight="1">
      <c r="A38" s="17" t="s">
        <v>491</v>
      </c>
      <c r="B38" s="18" t="s">
        <v>1185</v>
      </c>
    </row>
    <row r="39" ht="18.0" customHeight="1">
      <c r="A39" s="15" t="s">
        <v>493</v>
      </c>
      <c r="B39" s="16" t="s">
        <v>1188</v>
      </c>
    </row>
    <row r="40" ht="18.0" customHeight="1">
      <c r="A40" s="17" t="s">
        <v>498</v>
      </c>
      <c r="B40" s="18" t="s">
        <v>1190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1158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1163</v>
      </c>
    </row>
    <row r="5" ht="18.0" customHeight="1">
      <c r="A5" s="17" t="s">
        <v>413</v>
      </c>
      <c r="B5" s="18" t="s">
        <v>1065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1172</v>
      </c>
    </row>
    <row r="10" ht="18.0" customHeight="1">
      <c r="A10" s="15" t="s">
        <v>428</v>
      </c>
      <c r="B10" s="16" t="s">
        <v>1173</v>
      </c>
    </row>
    <row r="11" ht="18.0" customHeight="1">
      <c r="A11" s="17" t="s">
        <v>430</v>
      </c>
      <c r="B11" s="18" t="s">
        <v>537</v>
      </c>
    </row>
    <row r="12" ht="18.0" customHeight="1">
      <c r="A12" s="15" t="s">
        <v>433</v>
      </c>
      <c r="B12" s="16" t="s">
        <v>1175</v>
      </c>
    </row>
    <row r="13" ht="18.0" customHeight="1">
      <c r="A13" s="17" t="s">
        <v>435</v>
      </c>
      <c r="B13" s="18" t="s">
        <v>1177</v>
      </c>
    </row>
    <row r="14" ht="18.0" customHeight="1">
      <c r="A14" s="15" t="s">
        <v>437</v>
      </c>
      <c r="B14" s="16" t="s">
        <v>1161</v>
      </c>
    </row>
    <row r="16" ht="19.5" customHeight="1">
      <c r="A16" s="13" t="s">
        <v>441</v>
      </c>
      <c r="B16" s="14"/>
    </row>
    <row r="17" ht="45.0" customHeight="1">
      <c r="A17" s="15" t="s">
        <v>1036</v>
      </c>
      <c r="B17" s="16" t="s">
        <v>1181</v>
      </c>
    </row>
    <row r="18" ht="90.0" customHeight="1">
      <c r="A18" s="17" t="s">
        <v>1038</v>
      </c>
      <c r="B18" s="18" t="s">
        <v>1183</v>
      </c>
    </row>
    <row r="19" ht="60.0" customHeight="1">
      <c r="A19" s="15" t="s">
        <v>545</v>
      </c>
      <c r="B19" s="16" t="s">
        <v>1186</v>
      </c>
    </row>
    <row r="20" ht="30.0" customHeight="1">
      <c r="A20" s="17" t="s">
        <v>1187</v>
      </c>
      <c r="B20" s="18" t="s">
        <v>1189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1191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1192</v>
      </c>
    </row>
    <row r="27" ht="18.0" customHeight="1">
      <c r="A27" s="15" t="s">
        <v>471</v>
      </c>
      <c r="B27" s="16" t="s">
        <v>1193</v>
      </c>
    </row>
    <row r="28" ht="18.0" customHeight="1">
      <c r="A28" s="17" t="s">
        <v>473</v>
      </c>
      <c r="B28" s="18" t="s">
        <v>1194</v>
      </c>
    </row>
    <row r="29" ht="18.0" customHeight="1">
      <c r="A29" s="15" t="s">
        <v>475</v>
      </c>
      <c r="B29" s="16" t="s">
        <v>1195</v>
      </c>
    </row>
    <row r="30" ht="18.0" customHeight="1">
      <c r="A30" s="17" t="s">
        <v>477</v>
      </c>
      <c r="B30" s="18" t="s">
        <v>1196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1197</v>
      </c>
    </row>
    <row r="35" ht="18.0" customHeight="1">
      <c r="A35" s="15" t="s">
        <v>489</v>
      </c>
      <c r="B35" s="16" t="s">
        <v>1198</v>
      </c>
    </row>
    <row r="36" ht="18.0" customHeight="1">
      <c r="A36" s="17" t="s">
        <v>491</v>
      </c>
      <c r="B36" s="18" t="s">
        <v>500</v>
      </c>
    </row>
    <row r="37" ht="18.0" customHeight="1">
      <c r="A37" s="15" t="s">
        <v>493</v>
      </c>
      <c r="B37" s="16" t="s">
        <v>1199</v>
      </c>
    </row>
    <row r="38" ht="18.0" customHeight="1">
      <c r="A38" s="17" t="s">
        <v>498</v>
      </c>
      <c r="B38" s="18" t="s">
        <v>1200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1201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1202</v>
      </c>
    </row>
    <row r="5" ht="18.0" customHeight="1">
      <c r="A5" s="17" t="s">
        <v>413</v>
      </c>
      <c r="B5" s="18" t="s">
        <v>1203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1204</v>
      </c>
    </row>
    <row r="10" ht="18.0" customHeight="1">
      <c r="A10" s="15" t="s">
        <v>428</v>
      </c>
      <c r="B10" s="16" t="s">
        <v>1205</v>
      </c>
    </row>
    <row r="11" ht="18.0" customHeight="1">
      <c r="A11" s="17" t="s">
        <v>430</v>
      </c>
      <c r="B11" s="18" t="s">
        <v>1206</v>
      </c>
    </row>
    <row r="12" ht="18.0" customHeight="1">
      <c r="A12" s="15" t="s">
        <v>433</v>
      </c>
      <c r="B12" s="16" t="s">
        <v>1129</v>
      </c>
    </row>
    <row r="13" ht="18.0" customHeight="1">
      <c r="A13" s="17" t="s">
        <v>435</v>
      </c>
      <c r="B13" s="18" t="s">
        <v>1207</v>
      </c>
    </row>
    <row r="14" ht="18.0" customHeight="1">
      <c r="A14" s="15" t="s">
        <v>437</v>
      </c>
      <c r="B14" s="16" t="s">
        <v>1208</v>
      </c>
    </row>
    <row r="16" ht="19.5" customHeight="1">
      <c r="A16" s="13" t="s">
        <v>441</v>
      </c>
      <c r="B16" s="14"/>
    </row>
    <row r="17" ht="60.0" customHeight="1">
      <c r="A17" s="15" t="s">
        <v>1210</v>
      </c>
      <c r="B17" s="16" t="s">
        <v>1211</v>
      </c>
    </row>
    <row r="18" ht="60.0" customHeight="1">
      <c r="A18" s="17" t="s">
        <v>1212</v>
      </c>
      <c r="B18" s="18" t="s">
        <v>1213</v>
      </c>
    </row>
    <row r="19" ht="45.0" customHeight="1">
      <c r="A19" s="15" t="s">
        <v>1214</v>
      </c>
      <c r="B19" s="16" t="s">
        <v>1215</v>
      </c>
    </row>
    <row r="20" ht="45.0" customHeight="1">
      <c r="A20" s="17" t="s">
        <v>1217</v>
      </c>
      <c r="B20" s="18" t="s">
        <v>1218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1220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1221</v>
      </c>
    </row>
    <row r="27" ht="18.0" customHeight="1">
      <c r="A27" s="15" t="s">
        <v>471</v>
      </c>
      <c r="B27" s="16" t="s">
        <v>1223</v>
      </c>
    </row>
    <row r="28" ht="18.0" customHeight="1">
      <c r="A28" s="17" t="s">
        <v>473</v>
      </c>
      <c r="B28" s="18" t="s">
        <v>1225</v>
      </c>
    </row>
    <row r="29" ht="18.0" customHeight="1">
      <c r="A29" s="15" t="s">
        <v>475</v>
      </c>
      <c r="B29" s="16" t="s">
        <v>1227</v>
      </c>
    </row>
    <row r="30" ht="18.0" customHeight="1">
      <c r="A30" s="17" t="s">
        <v>477</v>
      </c>
      <c r="B30" s="18" t="s">
        <v>792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1231</v>
      </c>
    </row>
    <row r="35" ht="18.0" customHeight="1">
      <c r="A35" s="15" t="s">
        <v>489</v>
      </c>
      <c r="B35" s="16" t="s">
        <v>1234</v>
      </c>
    </row>
    <row r="36" ht="18.0" customHeight="1">
      <c r="A36" s="17" t="s">
        <v>491</v>
      </c>
      <c r="B36" s="18" t="s">
        <v>500</v>
      </c>
    </row>
    <row r="37" ht="18.0" customHeight="1">
      <c r="A37" s="15" t="s">
        <v>493</v>
      </c>
      <c r="B37" s="16" t="s">
        <v>1240</v>
      </c>
    </row>
    <row r="38" ht="18.0" customHeight="1">
      <c r="A38" s="17" t="s">
        <v>498</v>
      </c>
      <c r="B38" s="18" t="s">
        <v>1241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1209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1216</v>
      </c>
    </row>
    <row r="5" ht="18.0" customHeight="1">
      <c r="A5" s="17" t="s">
        <v>413</v>
      </c>
      <c r="B5" s="18" t="s">
        <v>1219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1222</v>
      </c>
    </row>
    <row r="12" ht="18.0" customHeight="1">
      <c r="A12" s="15" t="s">
        <v>428</v>
      </c>
      <c r="B12" s="16" t="s">
        <v>1224</v>
      </c>
    </row>
    <row r="13" ht="18.0" customHeight="1">
      <c r="A13" s="17" t="s">
        <v>430</v>
      </c>
      <c r="B13" s="18" t="s">
        <v>1226</v>
      </c>
    </row>
    <row r="14" ht="18.0" customHeight="1">
      <c r="A14" s="15" t="s">
        <v>433</v>
      </c>
      <c r="B14" s="16" t="s">
        <v>1228</v>
      </c>
    </row>
    <row r="15" ht="18.0" customHeight="1">
      <c r="A15" s="17" t="s">
        <v>435</v>
      </c>
      <c r="B15" s="18" t="s">
        <v>1229</v>
      </c>
    </row>
    <row r="16" ht="18.0" customHeight="1">
      <c r="A16" s="15" t="s">
        <v>437</v>
      </c>
      <c r="B16" s="16" t="s">
        <v>559</v>
      </c>
    </row>
    <row r="18" ht="19.5" customHeight="1">
      <c r="A18" s="13" t="s">
        <v>441</v>
      </c>
      <c r="B18" s="14"/>
    </row>
    <row r="19" ht="60.0" customHeight="1">
      <c r="A19" s="15" t="s">
        <v>1230</v>
      </c>
      <c r="B19" s="16" t="s">
        <v>1232</v>
      </c>
    </row>
    <row r="20" ht="75.0" customHeight="1">
      <c r="A20" s="17" t="s">
        <v>1233</v>
      </c>
      <c r="B20" s="18" t="s">
        <v>1235</v>
      </c>
    </row>
    <row r="21" ht="30.0" customHeight="1">
      <c r="A21" s="15" t="s">
        <v>1236</v>
      </c>
      <c r="B21" s="16" t="s">
        <v>1237</v>
      </c>
    </row>
    <row r="22" ht="30.0" customHeight="1">
      <c r="A22" s="17" t="s">
        <v>1238</v>
      </c>
      <c r="B22" s="18" t="s">
        <v>1239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1242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1243</v>
      </c>
    </row>
    <row r="29" ht="18.0" customHeight="1">
      <c r="A29" s="15" t="s">
        <v>471</v>
      </c>
      <c r="B29" s="16" t="s">
        <v>1244</v>
      </c>
    </row>
    <row r="30" ht="18.0" customHeight="1">
      <c r="A30" s="17" t="s">
        <v>473</v>
      </c>
      <c r="B30" s="18" t="s">
        <v>1245</v>
      </c>
    </row>
    <row r="31" ht="18.0" customHeight="1">
      <c r="A31" s="15" t="s">
        <v>475</v>
      </c>
      <c r="B31" s="16" t="s">
        <v>1246</v>
      </c>
    </row>
    <row r="32" ht="18.0" customHeight="1">
      <c r="A32" s="17" t="s">
        <v>477</v>
      </c>
      <c r="B32" s="18" t="s">
        <v>1247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1248</v>
      </c>
    </row>
    <row r="37" ht="18.0" customHeight="1">
      <c r="A37" s="15" t="s">
        <v>489</v>
      </c>
      <c r="B37" s="16" t="s">
        <v>1249</v>
      </c>
    </row>
    <row r="38" ht="18.0" customHeight="1">
      <c r="A38" s="17" t="s">
        <v>491</v>
      </c>
      <c r="B38" s="18" t="s">
        <v>1250</v>
      </c>
    </row>
    <row r="39" ht="18.0" customHeight="1">
      <c r="A39" s="15" t="s">
        <v>493</v>
      </c>
      <c r="B39" s="16" t="s">
        <v>1252</v>
      </c>
    </row>
    <row r="40" ht="18.0" customHeight="1">
      <c r="A40" s="17" t="s">
        <v>498</v>
      </c>
      <c r="B40" s="18" t="s">
        <v>1253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1251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1254</v>
      </c>
    </row>
    <row r="5" ht="18.0" customHeight="1">
      <c r="A5" s="17" t="s">
        <v>413</v>
      </c>
      <c r="B5" s="18" t="s">
        <v>1255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1256</v>
      </c>
    </row>
    <row r="10" ht="18.0" customHeight="1">
      <c r="A10" s="15" t="s">
        <v>428</v>
      </c>
      <c r="B10" s="16" t="s">
        <v>1257</v>
      </c>
    </row>
    <row r="11" ht="18.0" customHeight="1">
      <c r="A11" s="17" t="s">
        <v>430</v>
      </c>
      <c r="B11" s="18" t="s">
        <v>1258</v>
      </c>
    </row>
    <row r="12" ht="18.0" customHeight="1">
      <c r="A12" s="15" t="s">
        <v>433</v>
      </c>
      <c r="B12" s="16" t="s">
        <v>934</v>
      </c>
    </row>
    <row r="13" ht="18.0" customHeight="1">
      <c r="A13" s="17" t="s">
        <v>435</v>
      </c>
      <c r="B13" s="18" t="s">
        <v>1207</v>
      </c>
    </row>
    <row r="14" ht="18.0" customHeight="1">
      <c r="A14" s="15" t="s">
        <v>437</v>
      </c>
      <c r="B14" s="16" t="s">
        <v>1208</v>
      </c>
    </row>
    <row r="16" ht="19.5" customHeight="1">
      <c r="A16" s="13" t="s">
        <v>441</v>
      </c>
      <c r="B16" s="14"/>
    </row>
    <row r="17" ht="45.0" customHeight="1">
      <c r="A17" s="15" t="s">
        <v>1259</v>
      </c>
      <c r="B17" s="16" t="s">
        <v>1260</v>
      </c>
    </row>
    <row r="18" ht="60.0" customHeight="1">
      <c r="A18" s="17" t="s">
        <v>1261</v>
      </c>
      <c r="B18" s="18" t="s">
        <v>1262</v>
      </c>
    </row>
    <row r="19" ht="45.0" customHeight="1">
      <c r="A19" s="15" t="s">
        <v>1263</v>
      </c>
      <c r="B19" s="16" t="s">
        <v>1264</v>
      </c>
    </row>
    <row r="20" ht="30.0" customHeight="1">
      <c r="A20" s="17" t="s">
        <v>1265</v>
      </c>
      <c r="B20" s="18" t="s">
        <v>1266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1267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1268</v>
      </c>
    </row>
    <row r="27" ht="18.0" customHeight="1">
      <c r="A27" s="15" t="s">
        <v>471</v>
      </c>
      <c r="B27" s="16" t="s">
        <v>1269</v>
      </c>
    </row>
    <row r="28" ht="18.0" customHeight="1">
      <c r="A28" s="17" t="s">
        <v>473</v>
      </c>
      <c r="B28" s="18" t="s">
        <v>1270</v>
      </c>
    </row>
    <row r="29" ht="18.0" customHeight="1">
      <c r="A29" s="15" t="s">
        <v>475</v>
      </c>
      <c r="B29" s="16" t="s">
        <v>1271</v>
      </c>
    </row>
    <row r="30" ht="18.0" customHeight="1">
      <c r="A30" s="17" t="s">
        <v>477</v>
      </c>
      <c r="B30" s="18" t="s">
        <v>1272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1273</v>
      </c>
    </row>
    <row r="35" ht="18.0" customHeight="1">
      <c r="A35" s="15" t="s">
        <v>489</v>
      </c>
      <c r="B35" s="16" t="s">
        <v>1274</v>
      </c>
    </row>
    <row r="36" ht="18.0" customHeight="1">
      <c r="A36" s="17" t="s">
        <v>491</v>
      </c>
      <c r="B36" s="18" t="s">
        <v>763</v>
      </c>
    </row>
    <row r="37" ht="18.0" customHeight="1">
      <c r="A37" s="15" t="s">
        <v>493</v>
      </c>
      <c r="B37" s="16" t="s">
        <v>764</v>
      </c>
    </row>
    <row r="38" ht="18.0" customHeight="1">
      <c r="A38" s="17" t="s">
        <v>498</v>
      </c>
      <c r="B38" s="18" t="s">
        <v>1253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1275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1276</v>
      </c>
    </row>
    <row r="5" ht="18.0" customHeight="1">
      <c r="A5" s="17" t="s">
        <v>413</v>
      </c>
      <c r="B5" s="18" t="s">
        <v>1277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1278</v>
      </c>
    </row>
    <row r="10" ht="18.0" customHeight="1">
      <c r="A10" s="15" t="s">
        <v>428</v>
      </c>
      <c r="B10" s="16" t="s">
        <v>1279</v>
      </c>
    </row>
    <row r="11" ht="18.0" customHeight="1">
      <c r="A11" s="17" t="s">
        <v>430</v>
      </c>
      <c r="B11" s="18" t="s">
        <v>1280</v>
      </c>
    </row>
    <row r="12" ht="18.0" customHeight="1">
      <c r="A12" s="15" t="s">
        <v>433</v>
      </c>
      <c r="B12" s="16" t="s">
        <v>1281</v>
      </c>
    </row>
    <row r="13" ht="18.0" customHeight="1">
      <c r="A13" s="17" t="s">
        <v>435</v>
      </c>
      <c r="B13" s="18" t="s">
        <v>1069</v>
      </c>
    </row>
    <row r="14" ht="18.0" customHeight="1">
      <c r="A14" s="15" t="s">
        <v>437</v>
      </c>
      <c r="B14" s="16" t="s">
        <v>439</v>
      </c>
    </row>
    <row r="16" ht="19.5" customHeight="1">
      <c r="A16" s="13" t="s">
        <v>441</v>
      </c>
      <c r="B16" s="14"/>
    </row>
    <row r="17" ht="45.0" customHeight="1">
      <c r="A17" s="15" t="s">
        <v>1282</v>
      </c>
      <c r="B17" s="16" t="s">
        <v>1283</v>
      </c>
    </row>
    <row r="18" ht="60.0" customHeight="1">
      <c r="A18" s="17" t="s">
        <v>1284</v>
      </c>
      <c r="B18" s="18" t="s">
        <v>1285</v>
      </c>
    </row>
    <row r="19" ht="45.0" customHeight="1">
      <c r="A19" s="15" t="s">
        <v>1286</v>
      </c>
      <c r="B19" s="16" t="s">
        <v>1287</v>
      </c>
    </row>
    <row r="20" ht="45.0" customHeight="1">
      <c r="A20" s="17" t="s">
        <v>1288</v>
      </c>
      <c r="B20" s="18" t="s">
        <v>1289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1290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1291</v>
      </c>
    </row>
    <row r="27" ht="18.0" customHeight="1">
      <c r="A27" s="15" t="s">
        <v>471</v>
      </c>
      <c r="B27" s="16" t="s">
        <v>1292</v>
      </c>
    </row>
    <row r="28" ht="18.0" customHeight="1">
      <c r="A28" s="17" t="s">
        <v>473</v>
      </c>
      <c r="B28" s="18" t="s">
        <v>1293</v>
      </c>
    </row>
    <row r="29" ht="18.0" customHeight="1">
      <c r="A29" s="15" t="s">
        <v>475</v>
      </c>
      <c r="B29" s="16" t="s">
        <v>1294</v>
      </c>
    </row>
    <row r="30" ht="18.0" customHeight="1">
      <c r="A30" s="17" t="s">
        <v>477</v>
      </c>
      <c r="B30" s="18" t="s">
        <v>1295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1296</v>
      </c>
    </row>
    <row r="35" ht="18.0" customHeight="1">
      <c r="A35" s="15" t="s">
        <v>489</v>
      </c>
      <c r="B35" s="16" t="s">
        <v>1297</v>
      </c>
    </row>
    <row r="36" ht="18.0" customHeight="1">
      <c r="A36" s="17" t="s">
        <v>491</v>
      </c>
      <c r="B36" s="18" t="s">
        <v>1298</v>
      </c>
    </row>
    <row r="37" ht="18.0" customHeight="1">
      <c r="A37" s="15" t="s">
        <v>493</v>
      </c>
      <c r="B37" s="16" t="s">
        <v>528</v>
      </c>
    </row>
    <row r="38" ht="18.0" customHeight="1">
      <c r="A38" s="17" t="s">
        <v>498</v>
      </c>
      <c r="B38" s="18" t="s">
        <v>1299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1300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1301</v>
      </c>
    </row>
    <row r="5" ht="18.0" customHeight="1">
      <c r="A5" s="17" t="s">
        <v>413</v>
      </c>
      <c r="B5" s="18" t="s">
        <v>1078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780</v>
      </c>
    </row>
    <row r="10" ht="18.0" customHeight="1">
      <c r="A10" s="15" t="s">
        <v>425</v>
      </c>
      <c r="B10" s="16" t="s">
        <v>1303</v>
      </c>
    </row>
    <row r="11" ht="18.0" customHeight="1">
      <c r="A11" s="17" t="s">
        <v>428</v>
      </c>
      <c r="B11" s="18" t="s">
        <v>1304</v>
      </c>
    </row>
    <row r="12" ht="18.0" customHeight="1">
      <c r="A12" s="15" t="s">
        <v>430</v>
      </c>
      <c r="B12" s="16" t="s">
        <v>1305</v>
      </c>
    </row>
    <row r="13" ht="18.0" customHeight="1">
      <c r="A13" s="17" t="s">
        <v>433</v>
      </c>
      <c r="B13" s="18" t="s">
        <v>1306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75.0" customHeight="1">
      <c r="A18" s="15" t="s">
        <v>1309</v>
      </c>
      <c r="B18" s="16" t="s">
        <v>1310</v>
      </c>
    </row>
    <row r="19" ht="60.0" customHeight="1">
      <c r="A19" s="17" t="s">
        <v>1311</v>
      </c>
      <c r="B19" s="18" t="s">
        <v>1312</v>
      </c>
    </row>
    <row r="20" ht="60.0" customHeight="1">
      <c r="A20" s="15" t="s">
        <v>1313</v>
      </c>
      <c r="B20" s="16" t="s">
        <v>1314</v>
      </c>
    </row>
    <row r="21" ht="30.0" customHeight="1">
      <c r="A21" s="17" t="s">
        <v>1316</v>
      </c>
      <c r="B21" s="18" t="s">
        <v>1318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1320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1322</v>
      </c>
    </row>
    <row r="28" ht="18.0" customHeight="1">
      <c r="A28" s="15" t="s">
        <v>471</v>
      </c>
      <c r="B28" s="16" t="s">
        <v>1325</v>
      </c>
    </row>
    <row r="29" ht="18.0" customHeight="1">
      <c r="A29" s="17" t="s">
        <v>473</v>
      </c>
      <c r="B29" s="18" t="s">
        <v>1328</v>
      </c>
    </row>
    <row r="30" ht="18.0" customHeight="1">
      <c r="A30" s="15" t="s">
        <v>475</v>
      </c>
      <c r="B30" s="16" t="s">
        <v>1331</v>
      </c>
    </row>
    <row r="31" ht="18.0" customHeight="1">
      <c r="A31" s="17" t="s">
        <v>477</v>
      </c>
      <c r="B31" s="18" t="s">
        <v>1333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1335</v>
      </c>
    </row>
    <row r="36" ht="18.0" customHeight="1">
      <c r="A36" s="15" t="s">
        <v>489</v>
      </c>
      <c r="B36" s="16" t="s">
        <v>1337</v>
      </c>
    </row>
    <row r="37" ht="18.0" customHeight="1">
      <c r="A37" s="17" t="s">
        <v>491</v>
      </c>
      <c r="B37" s="18" t="s">
        <v>1106</v>
      </c>
    </row>
    <row r="38" ht="18.0" customHeight="1">
      <c r="A38" s="15" t="s">
        <v>493</v>
      </c>
      <c r="B38" s="16" t="s">
        <v>1341</v>
      </c>
    </row>
    <row r="39" ht="18.0" customHeight="1">
      <c r="A39" s="17" t="s">
        <v>498</v>
      </c>
      <c r="B39" s="18" t="s">
        <v>765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1302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1307</v>
      </c>
    </row>
    <row r="5" ht="18.0" customHeight="1">
      <c r="A5" s="17" t="s">
        <v>413</v>
      </c>
      <c r="B5" s="18" t="s">
        <v>1308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1315</v>
      </c>
    </row>
    <row r="10" ht="18.0" customHeight="1">
      <c r="A10" s="15" t="s">
        <v>428</v>
      </c>
      <c r="B10" s="16" t="s">
        <v>1317</v>
      </c>
    </row>
    <row r="11" ht="18.0" customHeight="1">
      <c r="A11" s="17" t="s">
        <v>430</v>
      </c>
      <c r="B11" s="18" t="s">
        <v>555</v>
      </c>
    </row>
    <row r="12" ht="18.0" customHeight="1">
      <c r="A12" s="15" t="s">
        <v>433</v>
      </c>
      <c r="B12" s="16" t="s">
        <v>1319</v>
      </c>
    </row>
    <row r="13" ht="18.0" customHeight="1">
      <c r="A13" s="17" t="s">
        <v>435</v>
      </c>
      <c r="B13" s="18" t="s">
        <v>1069</v>
      </c>
    </row>
    <row r="14" ht="18.0" customHeight="1">
      <c r="A14" s="15" t="s">
        <v>437</v>
      </c>
      <c r="B14" s="16" t="s">
        <v>439</v>
      </c>
    </row>
    <row r="16" ht="19.5" customHeight="1">
      <c r="A16" s="13" t="s">
        <v>441</v>
      </c>
      <c r="B16" s="14"/>
    </row>
    <row r="17" ht="60.0" customHeight="1">
      <c r="A17" s="15" t="s">
        <v>1321</v>
      </c>
      <c r="B17" s="16" t="s">
        <v>1323</v>
      </c>
    </row>
    <row r="18" ht="75.0" customHeight="1">
      <c r="A18" s="17" t="s">
        <v>1324</v>
      </c>
      <c r="B18" s="18" t="s">
        <v>1326</v>
      </c>
    </row>
    <row r="19" ht="45.0" customHeight="1">
      <c r="A19" s="15" t="s">
        <v>1327</v>
      </c>
      <c r="B19" s="16" t="s">
        <v>1329</v>
      </c>
    </row>
    <row r="20" ht="45.0" customHeight="1">
      <c r="A20" s="17" t="s">
        <v>1330</v>
      </c>
      <c r="B20" s="18" t="s">
        <v>1332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1334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1336</v>
      </c>
    </row>
    <row r="27" ht="18.0" customHeight="1">
      <c r="A27" s="15" t="s">
        <v>471</v>
      </c>
      <c r="B27" s="16" t="s">
        <v>1338</v>
      </c>
    </row>
    <row r="28" ht="18.0" customHeight="1">
      <c r="A28" s="17" t="s">
        <v>473</v>
      </c>
      <c r="B28" s="18" t="s">
        <v>1339</v>
      </c>
    </row>
    <row r="29" ht="18.0" customHeight="1">
      <c r="A29" s="15" t="s">
        <v>475</v>
      </c>
      <c r="B29" s="16" t="s">
        <v>1340</v>
      </c>
    </row>
    <row r="30" ht="18.0" customHeight="1">
      <c r="A30" s="17" t="s">
        <v>477</v>
      </c>
      <c r="B30" s="18" t="s">
        <v>1342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1344</v>
      </c>
    </row>
    <row r="35" ht="18.0" customHeight="1">
      <c r="A35" s="15" t="s">
        <v>489</v>
      </c>
      <c r="B35" s="16" t="s">
        <v>1345</v>
      </c>
    </row>
    <row r="36" ht="18.0" customHeight="1">
      <c r="A36" s="17" t="s">
        <v>491</v>
      </c>
      <c r="B36" s="18" t="s">
        <v>592</v>
      </c>
    </row>
    <row r="37" ht="18.0" customHeight="1">
      <c r="A37" s="15" t="s">
        <v>493</v>
      </c>
      <c r="B37" s="16" t="s">
        <v>610</v>
      </c>
    </row>
    <row r="38" ht="18.0" customHeight="1">
      <c r="A38" s="17" t="s">
        <v>498</v>
      </c>
      <c r="B38" s="18" t="s">
        <v>926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1343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1346</v>
      </c>
    </row>
    <row r="5" ht="18.0" customHeight="1">
      <c r="A5" s="17" t="s">
        <v>413</v>
      </c>
      <c r="B5" s="18" t="s">
        <v>1347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1348</v>
      </c>
    </row>
    <row r="10" ht="18.0" customHeight="1">
      <c r="A10" s="15" t="s">
        <v>428</v>
      </c>
      <c r="B10" s="16" t="s">
        <v>440</v>
      </c>
    </row>
    <row r="11" ht="18.0" customHeight="1">
      <c r="A11" s="17" t="s">
        <v>430</v>
      </c>
      <c r="B11" s="18" t="s">
        <v>1206</v>
      </c>
    </row>
    <row r="12" ht="18.0" customHeight="1">
      <c r="A12" s="15" t="s">
        <v>433</v>
      </c>
      <c r="B12" s="16" t="s">
        <v>1349</v>
      </c>
    </row>
    <row r="13" ht="18.0" customHeight="1">
      <c r="A13" s="17" t="s">
        <v>435</v>
      </c>
      <c r="B13" s="18" t="s">
        <v>1207</v>
      </c>
    </row>
    <row r="14" ht="18.0" customHeight="1">
      <c r="A14" s="15" t="s">
        <v>437</v>
      </c>
      <c r="B14" s="16" t="s">
        <v>1208</v>
      </c>
    </row>
    <row r="16" ht="19.5" customHeight="1">
      <c r="A16" s="13" t="s">
        <v>441</v>
      </c>
      <c r="B16" s="14"/>
    </row>
    <row r="17" ht="60.0" customHeight="1">
      <c r="A17" s="15" t="s">
        <v>1350</v>
      </c>
      <c r="B17" s="16" t="s">
        <v>1351</v>
      </c>
    </row>
    <row r="18" ht="60.0" customHeight="1">
      <c r="A18" s="17" t="s">
        <v>1352</v>
      </c>
      <c r="B18" s="18" t="s">
        <v>1353</v>
      </c>
    </row>
    <row r="19" ht="45.0" customHeight="1">
      <c r="A19" s="15" t="s">
        <v>1354</v>
      </c>
      <c r="B19" s="16" t="s">
        <v>1355</v>
      </c>
    </row>
    <row r="20" ht="45.0" customHeight="1">
      <c r="A20" s="17" t="s">
        <v>1356</v>
      </c>
      <c r="B20" s="18" t="s">
        <v>1357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1358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1359</v>
      </c>
    </row>
    <row r="27" ht="18.0" customHeight="1">
      <c r="A27" s="15" t="s">
        <v>471</v>
      </c>
      <c r="B27" s="16" t="s">
        <v>1360</v>
      </c>
    </row>
    <row r="28" ht="18.0" customHeight="1">
      <c r="A28" s="17" t="s">
        <v>473</v>
      </c>
      <c r="B28" s="18" t="s">
        <v>1361</v>
      </c>
    </row>
    <row r="29" ht="18.0" customHeight="1">
      <c r="A29" s="15" t="s">
        <v>475</v>
      </c>
      <c r="B29" s="16" t="s">
        <v>1362</v>
      </c>
    </row>
    <row r="30" ht="18.0" customHeight="1">
      <c r="A30" s="17" t="s">
        <v>477</v>
      </c>
      <c r="B30" s="18" t="s">
        <v>1363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1364</v>
      </c>
    </row>
    <row r="35" ht="18.0" customHeight="1">
      <c r="A35" s="15" t="s">
        <v>489</v>
      </c>
      <c r="B35" s="16" t="s">
        <v>1365</v>
      </c>
    </row>
    <row r="36" ht="18.0" customHeight="1">
      <c r="A36" s="17" t="s">
        <v>491</v>
      </c>
      <c r="B36" s="18" t="s">
        <v>500</v>
      </c>
    </row>
    <row r="37" ht="18.0" customHeight="1">
      <c r="A37" s="15" t="s">
        <v>493</v>
      </c>
      <c r="B37" s="16" t="s">
        <v>1240</v>
      </c>
    </row>
    <row r="38" ht="18.0" customHeight="1">
      <c r="A38" s="17" t="s">
        <v>498</v>
      </c>
      <c r="B38" s="18" t="s">
        <v>1241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1366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1367</v>
      </c>
    </row>
    <row r="5" ht="18.0" customHeight="1">
      <c r="A5" s="17" t="s">
        <v>413</v>
      </c>
      <c r="B5" s="18" t="s">
        <v>1368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1369</v>
      </c>
    </row>
    <row r="10" ht="18.0" customHeight="1">
      <c r="A10" s="15" t="s">
        <v>428</v>
      </c>
      <c r="B10" s="16" t="s">
        <v>1370</v>
      </c>
    </row>
    <row r="11" ht="18.0" customHeight="1">
      <c r="A11" s="17" t="s">
        <v>430</v>
      </c>
      <c r="B11" s="18" t="s">
        <v>1371</v>
      </c>
    </row>
    <row r="12" ht="18.0" customHeight="1">
      <c r="A12" s="15" t="s">
        <v>433</v>
      </c>
      <c r="B12" s="16" t="s">
        <v>1372</v>
      </c>
    </row>
    <row r="13" ht="18.0" customHeight="1">
      <c r="A13" s="17" t="s">
        <v>435</v>
      </c>
      <c r="B13" s="18" t="s">
        <v>539</v>
      </c>
    </row>
    <row r="14" ht="18.0" customHeight="1">
      <c r="A14" s="15" t="s">
        <v>437</v>
      </c>
      <c r="B14" s="16" t="s">
        <v>541</v>
      </c>
    </row>
    <row r="16" ht="19.5" customHeight="1">
      <c r="A16" s="13" t="s">
        <v>441</v>
      </c>
      <c r="B16" s="14"/>
    </row>
    <row r="17" ht="60.0" customHeight="1">
      <c r="A17" s="15" t="s">
        <v>1373</v>
      </c>
      <c r="B17" s="16" t="s">
        <v>1374</v>
      </c>
    </row>
    <row r="18" ht="90.0" customHeight="1">
      <c r="A18" s="17" t="s">
        <v>1375</v>
      </c>
      <c r="B18" s="18" t="s">
        <v>1376</v>
      </c>
    </row>
    <row r="19" ht="45.0" customHeight="1">
      <c r="A19" s="15" t="s">
        <v>1377</v>
      </c>
      <c r="B19" s="16" t="s">
        <v>1378</v>
      </c>
    </row>
    <row r="20" ht="45.0" customHeight="1">
      <c r="A20" s="17" t="s">
        <v>1379</v>
      </c>
      <c r="B20" s="18" t="s">
        <v>1380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1381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1382</v>
      </c>
    </row>
    <row r="27" ht="18.0" customHeight="1">
      <c r="A27" s="15" t="s">
        <v>471</v>
      </c>
      <c r="B27" s="16" t="s">
        <v>1383</v>
      </c>
    </row>
    <row r="28" ht="18.0" customHeight="1">
      <c r="A28" s="17" t="s">
        <v>473</v>
      </c>
      <c r="B28" s="18" t="s">
        <v>1384</v>
      </c>
    </row>
    <row r="29" ht="18.0" customHeight="1">
      <c r="A29" s="15" t="s">
        <v>475</v>
      </c>
      <c r="B29" s="16" t="s">
        <v>1385</v>
      </c>
    </row>
    <row r="30" ht="18.0" customHeight="1">
      <c r="A30" s="17" t="s">
        <v>477</v>
      </c>
      <c r="B30" s="18" t="s">
        <v>1386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1387</v>
      </c>
    </row>
    <row r="35" ht="18.0" customHeight="1">
      <c r="A35" s="15" t="s">
        <v>489</v>
      </c>
      <c r="B35" s="16" t="s">
        <v>1388</v>
      </c>
    </row>
    <row r="36" ht="18.0" customHeight="1">
      <c r="A36" s="17" t="s">
        <v>491</v>
      </c>
      <c r="B36" s="18" t="s">
        <v>500</v>
      </c>
    </row>
    <row r="37" ht="18.0" customHeight="1">
      <c r="A37" s="15" t="s">
        <v>493</v>
      </c>
      <c r="B37" s="16" t="s">
        <v>593</v>
      </c>
    </row>
    <row r="38" ht="18.0" customHeight="1">
      <c r="A38" s="17" t="s">
        <v>498</v>
      </c>
      <c r="B38" s="18" t="s">
        <v>1390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1389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1392</v>
      </c>
    </row>
    <row r="5" ht="18.0" customHeight="1">
      <c r="A5" s="17" t="s">
        <v>413</v>
      </c>
      <c r="B5" s="18" t="s">
        <v>864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1393</v>
      </c>
    </row>
    <row r="9" ht="18.0" customHeight="1">
      <c r="A9" s="17" t="s">
        <v>423</v>
      </c>
      <c r="B9" s="18" t="s">
        <v>780</v>
      </c>
    </row>
    <row r="10" ht="18.0" customHeight="1">
      <c r="A10" s="15" t="s">
        <v>425</v>
      </c>
      <c r="B10" s="16" t="s">
        <v>1395</v>
      </c>
    </row>
    <row r="11" ht="18.0" customHeight="1">
      <c r="A11" s="17" t="s">
        <v>428</v>
      </c>
      <c r="B11" s="18" t="s">
        <v>1396</v>
      </c>
    </row>
    <row r="12" ht="18.0" customHeight="1">
      <c r="A12" s="15" t="s">
        <v>430</v>
      </c>
      <c r="B12" s="16" t="s">
        <v>696</v>
      </c>
    </row>
    <row r="13" ht="18.0" customHeight="1">
      <c r="A13" s="17" t="s">
        <v>433</v>
      </c>
      <c r="B13" s="18" t="s">
        <v>1398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60.0" customHeight="1">
      <c r="A18" s="15" t="s">
        <v>1402</v>
      </c>
      <c r="B18" s="16" t="s">
        <v>1403</v>
      </c>
    </row>
    <row r="19" ht="75.0" customHeight="1">
      <c r="A19" s="17" t="s">
        <v>1404</v>
      </c>
      <c r="B19" s="18" t="s">
        <v>1405</v>
      </c>
    </row>
    <row r="20" ht="60.0" customHeight="1">
      <c r="A20" s="15" t="s">
        <v>1407</v>
      </c>
      <c r="B20" s="16" t="s">
        <v>1408</v>
      </c>
    </row>
    <row r="21" ht="75.0" customHeight="1">
      <c r="A21" s="17" t="s">
        <v>1410</v>
      </c>
      <c r="B21" s="18" t="s">
        <v>1411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1414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1419</v>
      </c>
    </row>
    <row r="28" ht="18.0" customHeight="1">
      <c r="A28" s="15" t="s">
        <v>471</v>
      </c>
      <c r="B28" s="16" t="s">
        <v>1421</v>
      </c>
    </row>
    <row r="29" ht="18.0" customHeight="1">
      <c r="A29" s="17" t="s">
        <v>473</v>
      </c>
      <c r="B29" s="18" t="s">
        <v>1423</v>
      </c>
    </row>
    <row r="30" ht="18.0" customHeight="1">
      <c r="A30" s="15" t="s">
        <v>475</v>
      </c>
      <c r="B30" s="16" t="s">
        <v>1424</v>
      </c>
    </row>
    <row r="31" ht="18.0" customHeight="1">
      <c r="A31" s="17" t="s">
        <v>477</v>
      </c>
      <c r="B31" s="18" t="s">
        <v>1425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1432</v>
      </c>
    </row>
    <row r="36" ht="18.0" customHeight="1">
      <c r="A36" s="15" t="s">
        <v>489</v>
      </c>
      <c r="B36" s="16" t="s">
        <v>1433</v>
      </c>
    </row>
    <row r="37" ht="18.0" customHeight="1">
      <c r="A37" s="17" t="s">
        <v>491</v>
      </c>
      <c r="B37" s="18" t="s">
        <v>492</v>
      </c>
    </row>
    <row r="38" ht="18.0" customHeight="1">
      <c r="A38" s="15" t="s">
        <v>493</v>
      </c>
      <c r="B38" s="16" t="s">
        <v>1053</v>
      </c>
    </row>
    <row r="39" ht="18.0" customHeight="1">
      <c r="A39" s="17" t="s">
        <v>498</v>
      </c>
      <c r="B39" s="18" t="s">
        <v>1055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1391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1394</v>
      </c>
    </row>
    <row r="5" ht="18.0" customHeight="1">
      <c r="A5" s="17" t="s">
        <v>413</v>
      </c>
      <c r="B5" s="18" t="s">
        <v>1397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1399</v>
      </c>
    </row>
    <row r="10" ht="18.0" customHeight="1">
      <c r="A10" s="15" t="s">
        <v>428</v>
      </c>
      <c r="B10" s="16" t="s">
        <v>1400</v>
      </c>
    </row>
    <row r="11" ht="18.0" customHeight="1">
      <c r="A11" s="17" t="s">
        <v>430</v>
      </c>
      <c r="B11" s="18" t="s">
        <v>1401</v>
      </c>
    </row>
    <row r="12" ht="18.0" customHeight="1">
      <c r="A12" s="15" t="s">
        <v>433</v>
      </c>
      <c r="B12" s="16" t="s">
        <v>934</v>
      </c>
    </row>
    <row r="13" ht="18.0" customHeight="1">
      <c r="A13" s="17" t="s">
        <v>435</v>
      </c>
      <c r="B13" s="18" t="s">
        <v>1406</v>
      </c>
    </row>
    <row r="14" ht="18.0" customHeight="1">
      <c r="A14" s="15" t="s">
        <v>437</v>
      </c>
      <c r="B14" s="16" t="s">
        <v>1409</v>
      </c>
    </row>
    <row r="16" ht="19.5" customHeight="1">
      <c r="A16" s="13" t="s">
        <v>441</v>
      </c>
      <c r="B16" s="14"/>
    </row>
    <row r="17" ht="30.0" customHeight="1">
      <c r="A17" s="15" t="s">
        <v>1412</v>
      </c>
      <c r="B17" s="16" t="s">
        <v>1413</v>
      </c>
    </row>
    <row r="18" ht="75.0" customHeight="1">
      <c r="A18" s="17" t="s">
        <v>1415</v>
      </c>
      <c r="B18" s="18" t="s">
        <v>1416</v>
      </c>
    </row>
    <row r="19" ht="45.0" customHeight="1">
      <c r="A19" s="15" t="s">
        <v>1417</v>
      </c>
      <c r="B19" s="16" t="s">
        <v>1418</v>
      </c>
    </row>
    <row r="20" ht="30.0" customHeight="1">
      <c r="A20" s="17" t="s">
        <v>1420</v>
      </c>
      <c r="B20" s="18" t="s">
        <v>1422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1426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1428</v>
      </c>
    </row>
    <row r="27" ht="18.0" customHeight="1">
      <c r="A27" s="15" t="s">
        <v>471</v>
      </c>
      <c r="B27" s="16" t="s">
        <v>1429</v>
      </c>
    </row>
    <row r="28" ht="18.0" customHeight="1">
      <c r="A28" s="17" t="s">
        <v>473</v>
      </c>
      <c r="B28" s="18" t="s">
        <v>1430</v>
      </c>
    </row>
    <row r="29" ht="18.0" customHeight="1">
      <c r="A29" s="15" t="s">
        <v>475</v>
      </c>
      <c r="B29" s="16" t="s">
        <v>1431</v>
      </c>
    </row>
    <row r="30" ht="18.0" customHeight="1">
      <c r="A30" s="17" t="s">
        <v>477</v>
      </c>
      <c r="B30" s="18" t="s">
        <v>1434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1436</v>
      </c>
    </row>
    <row r="35" ht="18.0" customHeight="1">
      <c r="A35" s="15" t="s">
        <v>489</v>
      </c>
      <c r="B35" s="16" t="s">
        <v>1437</v>
      </c>
    </row>
    <row r="36" ht="18.0" customHeight="1">
      <c r="A36" s="17" t="s">
        <v>491</v>
      </c>
      <c r="B36" s="18" t="s">
        <v>763</v>
      </c>
    </row>
    <row r="37" ht="18.0" customHeight="1">
      <c r="A37" s="15" t="s">
        <v>493</v>
      </c>
      <c r="B37" s="16" t="s">
        <v>764</v>
      </c>
    </row>
    <row r="38" ht="18.0" customHeight="1">
      <c r="A38" s="17" t="s">
        <v>498</v>
      </c>
      <c r="B38" s="18" t="s">
        <v>1439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1427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1435</v>
      </c>
    </row>
    <row r="5" ht="18.0" customHeight="1">
      <c r="A5" s="17" t="s">
        <v>413</v>
      </c>
      <c r="B5" s="18" t="s">
        <v>1438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1393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424</v>
      </c>
    </row>
    <row r="11" ht="18.0" customHeight="1">
      <c r="A11" s="17" t="s">
        <v>425</v>
      </c>
      <c r="B11" s="18" t="s">
        <v>1440</v>
      </c>
    </row>
    <row r="12" ht="18.0" customHeight="1">
      <c r="A12" s="15" t="s">
        <v>428</v>
      </c>
      <c r="B12" s="16" t="s">
        <v>1441</v>
      </c>
    </row>
    <row r="13" ht="18.0" customHeight="1">
      <c r="A13" s="17" t="s">
        <v>430</v>
      </c>
      <c r="B13" s="18" t="s">
        <v>537</v>
      </c>
    </row>
    <row r="14" ht="18.0" customHeight="1">
      <c r="A14" s="15" t="s">
        <v>433</v>
      </c>
      <c r="B14" s="16" t="s">
        <v>1442</v>
      </c>
    </row>
    <row r="15" ht="18.0" customHeight="1">
      <c r="A15" s="17" t="s">
        <v>435</v>
      </c>
      <c r="B15" s="18" t="s">
        <v>1160</v>
      </c>
    </row>
    <row r="16" ht="18.0" customHeight="1">
      <c r="A16" s="15" t="s">
        <v>437</v>
      </c>
      <c r="B16" s="16" t="s">
        <v>1161</v>
      </c>
    </row>
    <row r="18" ht="19.5" customHeight="1">
      <c r="A18" s="13" t="s">
        <v>441</v>
      </c>
      <c r="B18" s="14"/>
    </row>
    <row r="19" ht="45.0" customHeight="1">
      <c r="A19" s="15" t="s">
        <v>1443</v>
      </c>
      <c r="B19" s="16" t="s">
        <v>1444</v>
      </c>
    </row>
    <row r="20" ht="60.0" customHeight="1">
      <c r="A20" s="17" t="s">
        <v>1445</v>
      </c>
      <c r="B20" s="18" t="s">
        <v>1446</v>
      </c>
    </row>
    <row r="21" ht="45.0" customHeight="1">
      <c r="A21" s="15" t="s">
        <v>1447</v>
      </c>
      <c r="B21" s="16" t="s">
        <v>1448</v>
      </c>
    </row>
    <row r="22" ht="45.0" customHeight="1">
      <c r="A22" s="17" t="s">
        <v>1449</v>
      </c>
      <c r="B22" s="18" t="s">
        <v>1450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1451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1452</v>
      </c>
    </row>
    <row r="29" ht="18.0" customHeight="1">
      <c r="A29" s="15" t="s">
        <v>471</v>
      </c>
      <c r="B29" s="16" t="s">
        <v>1453</v>
      </c>
    </row>
    <row r="30" ht="18.0" customHeight="1">
      <c r="A30" s="17" t="s">
        <v>473</v>
      </c>
      <c r="B30" s="18" t="s">
        <v>1454</v>
      </c>
    </row>
    <row r="31" ht="18.0" customHeight="1">
      <c r="A31" s="15" t="s">
        <v>475</v>
      </c>
      <c r="B31" s="16" t="s">
        <v>1455</v>
      </c>
    </row>
    <row r="32" ht="18.0" customHeight="1">
      <c r="A32" s="17" t="s">
        <v>477</v>
      </c>
      <c r="B32" s="18" t="s">
        <v>1342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1456</v>
      </c>
    </row>
    <row r="37" ht="18.0" customHeight="1">
      <c r="A37" s="15" t="s">
        <v>489</v>
      </c>
      <c r="B37" s="16" t="s">
        <v>1457</v>
      </c>
    </row>
    <row r="38" ht="18.0" customHeight="1">
      <c r="A38" s="17" t="s">
        <v>491</v>
      </c>
      <c r="B38" s="18" t="s">
        <v>1458</v>
      </c>
    </row>
    <row r="39" ht="18.0" customHeight="1">
      <c r="A39" s="15" t="s">
        <v>493</v>
      </c>
      <c r="B39" s="16" t="s">
        <v>610</v>
      </c>
    </row>
    <row r="40" ht="18.0" customHeight="1">
      <c r="A40" s="17" t="s">
        <v>498</v>
      </c>
      <c r="B40" s="18" t="s">
        <v>899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1459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1460</v>
      </c>
    </row>
    <row r="5" ht="18.0" customHeight="1">
      <c r="A5" s="17" t="s">
        <v>413</v>
      </c>
      <c r="B5" s="18" t="s">
        <v>1461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1393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1462</v>
      </c>
    </row>
    <row r="11" ht="18.0" customHeight="1">
      <c r="A11" s="17" t="s">
        <v>428</v>
      </c>
      <c r="B11" s="18" t="s">
        <v>1463</v>
      </c>
    </row>
    <row r="12" ht="18.0" customHeight="1">
      <c r="A12" s="15" t="s">
        <v>430</v>
      </c>
      <c r="B12" s="16" t="s">
        <v>1464</v>
      </c>
    </row>
    <row r="13" ht="18.0" customHeight="1">
      <c r="A13" s="17" t="s">
        <v>433</v>
      </c>
      <c r="B13" s="18" t="s">
        <v>1465</v>
      </c>
    </row>
    <row r="14" ht="18.0" customHeight="1">
      <c r="A14" s="15" t="s">
        <v>435</v>
      </c>
      <c r="B14" s="16" t="s">
        <v>1160</v>
      </c>
    </row>
    <row r="15" ht="18.0" customHeight="1">
      <c r="A15" s="17" t="s">
        <v>437</v>
      </c>
      <c r="B15" s="18" t="s">
        <v>1161</v>
      </c>
    </row>
    <row r="17" ht="19.5" customHeight="1">
      <c r="A17" s="13" t="s">
        <v>441</v>
      </c>
      <c r="B17" s="14"/>
    </row>
    <row r="18" ht="105.0" customHeight="1">
      <c r="A18" s="15" t="s">
        <v>1467</v>
      </c>
      <c r="B18" s="16" t="s">
        <v>1468</v>
      </c>
    </row>
    <row r="19" ht="75.0" customHeight="1">
      <c r="A19" s="17" t="s">
        <v>1469</v>
      </c>
      <c r="B19" s="18" t="s">
        <v>1470</v>
      </c>
    </row>
    <row r="20" ht="30.0" customHeight="1">
      <c r="A20" s="15" t="s">
        <v>1471</v>
      </c>
      <c r="B20" s="16" t="s">
        <v>1472</v>
      </c>
    </row>
    <row r="21" ht="45.0" customHeight="1">
      <c r="A21" s="17" t="s">
        <v>1473</v>
      </c>
      <c r="B21" s="18" t="s">
        <v>1475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1476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1478</v>
      </c>
    </row>
    <row r="28" ht="18.0" customHeight="1">
      <c r="A28" s="15" t="s">
        <v>471</v>
      </c>
      <c r="B28" s="16" t="s">
        <v>1479</v>
      </c>
    </row>
    <row r="29" ht="18.0" customHeight="1">
      <c r="A29" s="17" t="s">
        <v>473</v>
      </c>
      <c r="B29" s="18" t="s">
        <v>1481</v>
      </c>
    </row>
    <row r="30" ht="18.0" customHeight="1">
      <c r="A30" s="15" t="s">
        <v>475</v>
      </c>
      <c r="B30" s="16" t="s">
        <v>1482</v>
      </c>
    </row>
    <row r="31" ht="18.0" customHeight="1">
      <c r="A31" s="17" t="s">
        <v>477</v>
      </c>
      <c r="B31" s="18" t="s">
        <v>1483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1485</v>
      </c>
    </row>
    <row r="36" ht="18.0" customHeight="1">
      <c r="A36" s="15" t="s">
        <v>489</v>
      </c>
      <c r="B36" s="16" t="s">
        <v>1487</v>
      </c>
    </row>
    <row r="37" ht="18.0" customHeight="1">
      <c r="A37" s="17" t="s">
        <v>491</v>
      </c>
      <c r="B37" s="18" t="s">
        <v>1489</v>
      </c>
    </row>
    <row r="38" ht="18.0" customHeight="1">
      <c r="A38" s="15" t="s">
        <v>493</v>
      </c>
      <c r="B38" s="16" t="s">
        <v>925</v>
      </c>
    </row>
    <row r="39" ht="18.0" customHeight="1">
      <c r="A39" s="17" t="s">
        <v>498</v>
      </c>
      <c r="B39" s="18" t="s">
        <v>1494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1466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1474</v>
      </c>
    </row>
    <row r="5" ht="18.0" customHeight="1">
      <c r="A5" s="17" t="s">
        <v>413</v>
      </c>
      <c r="B5" s="18" t="s">
        <v>1078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780</v>
      </c>
    </row>
    <row r="10" ht="18.0" customHeight="1">
      <c r="A10" s="15" t="s">
        <v>425</v>
      </c>
      <c r="B10" s="16" t="s">
        <v>1477</v>
      </c>
    </row>
    <row r="11" ht="18.0" customHeight="1">
      <c r="A11" s="17" t="s">
        <v>428</v>
      </c>
      <c r="B11" s="18" t="s">
        <v>1257</v>
      </c>
    </row>
    <row r="12" ht="18.0" customHeight="1">
      <c r="A12" s="15" t="s">
        <v>430</v>
      </c>
      <c r="B12" s="16" t="s">
        <v>1258</v>
      </c>
    </row>
    <row r="13" ht="18.0" customHeight="1">
      <c r="A13" s="17" t="s">
        <v>433</v>
      </c>
      <c r="B13" s="18" t="s">
        <v>934</v>
      </c>
    </row>
    <row r="14" ht="18.0" customHeight="1">
      <c r="A14" s="15" t="s">
        <v>435</v>
      </c>
      <c r="B14" s="16" t="s">
        <v>1406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90.0" customHeight="1">
      <c r="A18" s="15" t="s">
        <v>1484</v>
      </c>
      <c r="B18" s="16" t="s">
        <v>1486</v>
      </c>
    </row>
    <row r="19" ht="60.0" customHeight="1">
      <c r="A19" s="17" t="s">
        <v>1488</v>
      </c>
      <c r="B19" s="18" t="s">
        <v>1490</v>
      </c>
    </row>
    <row r="20" ht="30.0" customHeight="1">
      <c r="A20" s="15" t="s">
        <v>1492</v>
      </c>
      <c r="B20" s="16" t="s">
        <v>1493</v>
      </c>
    </row>
    <row r="21" ht="45.0" customHeight="1">
      <c r="A21" s="17" t="s">
        <v>1495</v>
      </c>
      <c r="B21" s="18" t="s">
        <v>1496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1498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1499</v>
      </c>
    </row>
    <row r="28" ht="18.0" customHeight="1">
      <c r="A28" s="15" t="s">
        <v>471</v>
      </c>
      <c r="B28" s="16" t="s">
        <v>1501</v>
      </c>
    </row>
    <row r="29" ht="18.0" customHeight="1">
      <c r="A29" s="17" t="s">
        <v>473</v>
      </c>
      <c r="B29" s="18" t="s">
        <v>1503</v>
      </c>
    </row>
    <row r="30" ht="18.0" customHeight="1">
      <c r="A30" s="15" t="s">
        <v>475</v>
      </c>
      <c r="B30" s="16" t="s">
        <v>1505</v>
      </c>
    </row>
    <row r="31" ht="18.0" customHeight="1">
      <c r="A31" s="17" t="s">
        <v>477</v>
      </c>
      <c r="B31" s="18" t="s">
        <v>1507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1508</v>
      </c>
    </row>
    <row r="36" ht="18.0" customHeight="1">
      <c r="A36" s="15" t="s">
        <v>489</v>
      </c>
      <c r="B36" s="16" t="s">
        <v>1509</v>
      </c>
    </row>
    <row r="37" ht="18.0" customHeight="1">
      <c r="A37" s="17" t="s">
        <v>491</v>
      </c>
      <c r="B37" s="18" t="s">
        <v>1014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1516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1480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1491</v>
      </c>
    </row>
    <row r="5" ht="18.0" customHeight="1">
      <c r="A5" s="17" t="s">
        <v>413</v>
      </c>
      <c r="B5" s="18" t="s">
        <v>1497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1500</v>
      </c>
    </row>
    <row r="11" ht="18.0" customHeight="1">
      <c r="A11" s="17" t="s">
        <v>428</v>
      </c>
      <c r="B11" s="18" t="s">
        <v>1502</v>
      </c>
    </row>
    <row r="12" ht="18.0" customHeight="1">
      <c r="A12" s="15" t="s">
        <v>430</v>
      </c>
      <c r="B12" s="16" t="s">
        <v>933</v>
      </c>
    </row>
    <row r="13" ht="18.0" customHeight="1">
      <c r="A13" s="17" t="s">
        <v>433</v>
      </c>
      <c r="B13" s="18" t="s">
        <v>1506</v>
      </c>
    </row>
    <row r="14" ht="18.0" customHeight="1">
      <c r="A14" s="15" t="s">
        <v>435</v>
      </c>
      <c r="B14" s="16" t="s">
        <v>1406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1511</v>
      </c>
      <c r="B18" s="16" t="s">
        <v>1512</v>
      </c>
    </row>
    <row r="19" ht="75.0" customHeight="1">
      <c r="A19" s="17" t="s">
        <v>1513</v>
      </c>
      <c r="B19" s="18" t="s">
        <v>1515</v>
      </c>
    </row>
    <row r="20" ht="60.0" customHeight="1">
      <c r="A20" s="15" t="s">
        <v>1517</v>
      </c>
      <c r="B20" s="16" t="s">
        <v>1518</v>
      </c>
    </row>
    <row r="21" ht="45.0" customHeight="1">
      <c r="A21" s="17" t="s">
        <v>1519</v>
      </c>
      <c r="B21" s="18" t="s">
        <v>1520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1523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1525</v>
      </c>
    </row>
    <row r="28" ht="18.0" customHeight="1">
      <c r="A28" s="15" t="s">
        <v>471</v>
      </c>
      <c r="B28" s="16" t="s">
        <v>1527</v>
      </c>
    </row>
    <row r="29" ht="18.0" customHeight="1">
      <c r="A29" s="17" t="s">
        <v>473</v>
      </c>
      <c r="B29" s="18" t="s">
        <v>1534</v>
      </c>
    </row>
    <row r="30" ht="18.0" customHeight="1">
      <c r="A30" s="15" t="s">
        <v>475</v>
      </c>
      <c r="B30" s="16" t="s">
        <v>1537</v>
      </c>
    </row>
    <row r="31" ht="18.0" customHeight="1">
      <c r="A31" s="17" t="s">
        <v>477</v>
      </c>
      <c r="B31" s="18" t="s">
        <v>1538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1544</v>
      </c>
    </row>
    <row r="36" ht="18.0" customHeight="1">
      <c r="A36" s="15" t="s">
        <v>489</v>
      </c>
      <c r="B36" s="16" t="s">
        <v>1545</v>
      </c>
    </row>
    <row r="37" ht="18.0" customHeight="1">
      <c r="A37" s="17" t="s">
        <v>491</v>
      </c>
      <c r="B37" s="18" t="s">
        <v>1014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1516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1504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1510</v>
      </c>
    </row>
    <row r="5" ht="18.0" customHeight="1">
      <c r="A5" s="17" t="s">
        <v>413</v>
      </c>
      <c r="B5" s="18" t="s">
        <v>1514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1393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1521</v>
      </c>
    </row>
    <row r="11" ht="18.0" customHeight="1">
      <c r="A11" s="17" t="s">
        <v>428</v>
      </c>
      <c r="B11" s="18" t="s">
        <v>1126</v>
      </c>
    </row>
    <row r="12" ht="18.0" customHeight="1">
      <c r="A12" s="15" t="s">
        <v>430</v>
      </c>
      <c r="B12" s="16" t="s">
        <v>646</v>
      </c>
    </row>
    <row r="13" ht="18.0" customHeight="1">
      <c r="A13" s="17" t="s">
        <v>433</v>
      </c>
      <c r="B13" s="18" t="s">
        <v>1522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60.0" customHeight="1">
      <c r="A18" s="15" t="s">
        <v>1526</v>
      </c>
      <c r="B18" s="16" t="s">
        <v>1528</v>
      </c>
    </row>
    <row r="19" ht="60.0" customHeight="1">
      <c r="A19" s="17" t="s">
        <v>1529</v>
      </c>
      <c r="B19" s="18" t="s">
        <v>1530</v>
      </c>
    </row>
    <row r="20" ht="45.0" customHeight="1">
      <c r="A20" s="15" t="s">
        <v>1531</v>
      </c>
      <c r="B20" s="16" t="s">
        <v>1532</v>
      </c>
    </row>
    <row r="21" ht="45.0" customHeight="1">
      <c r="A21" s="17" t="s">
        <v>1533</v>
      </c>
      <c r="B21" s="18" t="s">
        <v>1535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1536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1539</v>
      </c>
    </row>
    <row r="28" ht="18.0" customHeight="1">
      <c r="A28" s="15" t="s">
        <v>471</v>
      </c>
      <c r="B28" s="16" t="s">
        <v>1540</v>
      </c>
    </row>
    <row r="29" ht="18.0" customHeight="1">
      <c r="A29" s="17" t="s">
        <v>473</v>
      </c>
      <c r="B29" s="18" t="s">
        <v>1541</v>
      </c>
    </row>
    <row r="30" ht="18.0" customHeight="1">
      <c r="A30" s="15" t="s">
        <v>475</v>
      </c>
      <c r="B30" s="16" t="s">
        <v>1542</v>
      </c>
    </row>
    <row r="31" ht="18.0" customHeight="1">
      <c r="A31" s="17" t="s">
        <v>477</v>
      </c>
      <c r="B31" s="18" t="s">
        <v>1543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1546</v>
      </c>
    </row>
    <row r="36" ht="18.0" customHeight="1">
      <c r="A36" s="15" t="s">
        <v>489</v>
      </c>
      <c r="B36" s="16" t="s">
        <v>1547</v>
      </c>
    </row>
    <row r="37" ht="18.0" customHeight="1">
      <c r="A37" s="17" t="s">
        <v>491</v>
      </c>
      <c r="B37" s="18" t="s">
        <v>902</v>
      </c>
    </row>
    <row r="38" ht="18.0" customHeight="1">
      <c r="A38" s="15" t="s">
        <v>493</v>
      </c>
      <c r="B38" s="16" t="s">
        <v>1548</v>
      </c>
    </row>
    <row r="39" ht="18.0" customHeight="1">
      <c r="A39" s="17" t="s">
        <v>498</v>
      </c>
      <c r="B39" s="18" t="s">
        <v>499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1549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1550</v>
      </c>
    </row>
    <row r="5" ht="18.0" customHeight="1">
      <c r="A5" s="17" t="s">
        <v>413</v>
      </c>
      <c r="B5" s="18" t="s">
        <v>1551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1552</v>
      </c>
    </row>
    <row r="11" ht="18.0" customHeight="1">
      <c r="A11" s="17" t="s">
        <v>428</v>
      </c>
      <c r="B11" s="18" t="s">
        <v>1396</v>
      </c>
    </row>
    <row r="12" ht="18.0" customHeight="1">
      <c r="A12" s="15" t="s">
        <v>430</v>
      </c>
      <c r="B12" s="16" t="s">
        <v>442</v>
      </c>
    </row>
    <row r="13" ht="18.0" customHeight="1">
      <c r="A13" s="17" t="s">
        <v>433</v>
      </c>
      <c r="B13" s="18" t="s">
        <v>1129</v>
      </c>
    </row>
    <row r="14" ht="18.0" customHeight="1">
      <c r="A14" s="15" t="s">
        <v>435</v>
      </c>
      <c r="B14" s="16" t="s">
        <v>1207</v>
      </c>
    </row>
    <row r="15" ht="18.0" customHeight="1">
      <c r="A15" s="17" t="s">
        <v>437</v>
      </c>
      <c r="B15" s="18" t="s">
        <v>1208</v>
      </c>
    </row>
    <row r="17" ht="19.5" customHeight="1">
      <c r="A17" s="13" t="s">
        <v>441</v>
      </c>
      <c r="B17" s="14"/>
    </row>
    <row r="18" ht="60.0" customHeight="1">
      <c r="A18" s="15" t="s">
        <v>1553</v>
      </c>
      <c r="B18" s="16" t="s">
        <v>1554</v>
      </c>
    </row>
    <row r="19" ht="60.0" customHeight="1">
      <c r="A19" s="17" t="s">
        <v>1555</v>
      </c>
      <c r="B19" s="18" t="s">
        <v>1556</v>
      </c>
    </row>
    <row r="20" ht="60.0" customHeight="1">
      <c r="A20" s="15" t="s">
        <v>1557</v>
      </c>
      <c r="B20" s="16" t="s">
        <v>1558</v>
      </c>
    </row>
    <row r="21" ht="45.0" customHeight="1">
      <c r="A21" s="17" t="s">
        <v>1560</v>
      </c>
      <c r="B21" s="18" t="s">
        <v>1561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1562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1563</v>
      </c>
    </row>
    <row r="28" ht="18.0" customHeight="1">
      <c r="A28" s="15" t="s">
        <v>471</v>
      </c>
      <c r="B28" s="16" t="s">
        <v>1564</v>
      </c>
    </row>
    <row r="29" ht="18.0" customHeight="1">
      <c r="A29" s="17" t="s">
        <v>473</v>
      </c>
      <c r="B29" s="18" t="s">
        <v>1566</v>
      </c>
    </row>
    <row r="30" ht="18.0" customHeight="1">
      <c r="A30" s="15" t="s">
        <v>475</v>
      </c>
      <c r="B30" s="16" t="s">
        <v>1567</v>
      </c>
    </row>
    <row r="31" ht="18.0" customHeight="1">
      <c r="A31" s="17" t="s">
        <v>477</v>
      </c>
      <c r="B31" s="18" t="s">
        <v>1569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1570</v>
      </c>
    </row>
    <row r="36" ht="18.0" customHeight="1">
      <c r="A36" s="15" t="s">
        <v>489</v>
      </c>
      <c r="B36" s="16" t="s">
        <v>1571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1572</v>
      </c>
    </row>
    <row r="39" ht="18.0" customHeight="1">
      <c r="A39" s="17" t="s">
        <v>498</v>
      </c>
      <c r="B39" s="18" t="s">
        <v>1241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1559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1565</v>
      </c>
    </row>
    <row r="5" ht="18.0" customHeight="1">
      <c r="A5" s="17" t="s">
        <v>413</v>
      </c>
      <c r="B5" s="18" t="s">
        <v>1568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1573</v>
      </c>
    </row>
    <row r="11" ht="18.0" customHeight="1">
      <c r="A11" s="17" t="s">
        <v>428</v>
      </c>
      <c r="B11" s="18" t="s">
        <v>695</v>
      </c>
    </row>
    <row r="12" ht="18.0" customHeight="1">
      <c r="A12" s="15" t="s">
        <v>430</v>
      </c>
      <c r="B12" s="16" t="s">
        <v>696</v>
      </c>
    </row>
    <row r="13" ht="18.0" customHeight="1">
      <c r="A13" s="17" t="s">
        <v>433</v>
      </c>
      <c r="B13" s="18" t="s">
        <v>697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45.0" customHeight="1">
      <c r="A18" s="15" t="s">
        <v>1574</v>
      </c>
      <c r="B18" s="16" t="s">
        <v>1575</v>
      </c>
    </row>
    <row r="19" ht="60.0" customHeight="1">
      <c r="A19" s="17" t="s">
        <v>1576</v>
      </c>
      <c r="B19" s="18" t="s">
        <v>1577</v>
      </c>
    </row>
    <row r="20" ht="60.0" customHeight="1">
      <c r="A20" s="15" t="s">
        <v>1578</v>
      </c>
      <c r="B20" s="16" t="s">
        <v>1579</v>
      </c>
    </row>
    <row r="21" ht="75.0" customHeight="1">
      <c r="A21" s="17" t="s">
        <v>1580</v>
      </c>
      <c r="B21" s="18" t="s">
        <v>1581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1582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1583</v>
      </c>
    </row>
    <row r="28" ht="18.0" customHeight="1">
      <c r="A28" s="15" t="s">
        <v>471</v>
      </c>
      <c r="B28" s="16" t="s">
        <v>1584</v>
      </c>
    </row>
    <row r="29" ht="18.0" customHeight="1">
      <c r="A29" s="17" t="s">
        <v>473</v>
      </c>
      <c r="B29" s="18" t="s">
        <v>1585</v>
      </c>
    </row>
    <row r="30" ht="18.0" customHeight="1">
      <c r="A30" s="15" t="s">
        <v>475</v>
      </c>
      <c r="B30" s="16" t="s">
        <v>1587</v>
      </c>
    </row>
    <row r="31" ht="18.0" customHeight="1">
      <c r="A31" s="17" t="s">
        <v>477</v>
      </c>
      <c r="B31" s="18" t="s">
        <v>1425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1588</v>
      </c>
    </row>
    <row r="36" ht="18.0" customHeight="1">
      <c r="A36" s="15" t="s">
        <v>489</v>
      </c>
      <c r="B36" s="16" t="s">
        <v>1589</v>
      </c>
    </row>
    <row r="37" ht="18.0" customHeight="1">
      <c r="A37" s="17" t="s">
        <v>491</v>
      </c>
      <c r="B37" s="18" t="s">
        <v>902</v>
      </c>
    </row>
    <row r="38" ht="18.0" customHeight="1">
      <c r="A38" s="15" t="s">
        <v>493</v>
      </c>
      <c r="B38" s="16" t="s">
        <v>1548</v>
      </c>
    </row>
    <row r="39" ht="18.0" customHeight="1">
      <c r="A39" s="17" t="s">
        <v>498</v>
      </c>
      <c r="B39" s="18" t="s">
        <v>499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1586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1590</v>
      </c>
    </row>
    <row r="5" ht="18.0" customHeight="1">
      <c r="A5" s="17" t="s">
        <v>413</v>
      </c>
      <c r="B5" s="18" t="s">
        <v>1591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1592</v>
      </c>
    </row>
    <row r="11" ht="18.0" customHeight="1">
      <c r="A11" s="17" t="s">
        <v>428</v>
      </c>
      <c r="B11" s="18" t="s">
        <v>1593</v>
      </c>
    </row>
    <row r="12" ht="18.0" customHeight="1">
      <c r="A12" s="15" t="s">
        <v>430</v>
      </c>
      <c r="B12" s="16" t="s">
        <v>1594</v>
      </c>
    </row>
    <row r="13" ht="18.0" customHeight="1">
      <c r="A13" s="17" t="s">
        <v>433</v>
      </c>
      <c r="B13" s="18" t="s">
        <v>1595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75.0" customHeight="1">
      <c r="A18" s="15" t="s">
        <v>1596</v>
      </c>
      <c r="B18" s="16" t="s">
        <v>1597</v>
      </c>
    </row>
    <row r="19" ht="75.0" customHeight="1">
      <c r="A19" s="17" t="s">
        <v>1598</v>
      </c>
      <c r="B19" s="18" t="s">
        <v>1599</v>
      </c>
    </row>
    <row r="20" ht="45.0" customHeight="1">
      <c r="A20" s="15" t="s">
        <v>1600</v>
      </c>
      <c r="B20" s="16" t="s">
        <v>1601</v>
      </c>
    </row>
    <row r="21" ht="45.0" customHeight="1">
      <c r="A21" s="17" t="s">
        <v>1602</v>
      </c>
      <c r="B21" s="18" t="s">
        <v>1603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1605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1606</v>
      </c>
    </row>
    <row r="28" ht="18.0" customHeight="1">
      <c r="A28" s="15" t="s">
        <v>471</v>
      </c>
      <c r="B28" s="16" t="s">
        <v>1607</v>
      </c>
    </row>
    <row r="29" ht="18.0" customHeight="1">
      <c r="A29" s="17" t="s">
        <v>473</v>
      </c>
      <c r="B29" s="18" t="s">
        <v>1608</v>
      </c>
    </row>
    <row r="30" ht="18.0" customHeight="1">
      <c r="A30" s="15" t="s">
        <v>475</v>
      </c>
      <c r="B30" s="16" t="s">
        <v>1609</v>
      </c>
    </row>
    <row r="31" ht="18.0" customHeight="1">
      <c r="A31" s="17" t="s">
        <v>477</v>
      </c>
      <c r="B31" s="18" t="s">
        <v>1610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1613</v>
      </c>
    </row>
    <row r="36" ht="18.0" customHeight="1">
      <c r="A36" s="15" t="s">
        <v>489</v>
      </c>
      <c r="B36" s="16" t="s">
        <v>1614</v>
      </c>
    </row>
    <row r="37" ht="18.0" customHeight="1">
      <c r="A37" s="17" t="s">
        <v>491</v>
      </c>
      <c r="B37" s="18" t="s">
        <v>1615</v>
      </c>
    </row>
    <row r="38" ht="18.0" customHeight="1">
      <c r="A38" s="15" t="s">
        <v>493</v>
      </c>
      <c r="B38" s="16" t="s">
        <v>1548</v>
      </c>
    </row>
    <row r="39" ht="18.0" customHeight="1">
      <c r="A39" s="17" t="s">
        <v>498</v>
      </c>
      <c r="B39" s="18" t="s">
        <v>499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1604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1611</v>
      </c>
    </row>
    <row r="5" ht="18.0" customHeight="1">
      <c r="A5" s="17" t="s">
        <v>413</v>
      </c>
      <c r="B5" s="18" t="s">
        <v>1612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1616</v>
      </c>
    </row>
    <row r="11" ht="18.0" customHeight="1">
      <c r="A11" s="17" t="s">
        <v>428</v>
      </c>
      <c r="B11" s="18" t="s">
        <v>1617</v>
      </c>
    </row>
    <row r="12" ht="18.0" customHeight="1">
      <c r="A12" s="15" t="s">
        <v>430</v>
      </c>
      <c r="B12" s="16" t="s">
        <v>1618</v>
      </c>
    </row>
    <row r="13" ht="18.0" customHeight="1">
      <c r="A13" s="17" t="s">
        <v>433</v>
      </c>
      <c r="B13" s="18" t="s">
        <v>1619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60.0" customHeight="1">
      <c r="A18" s="15" t="s">
        <v>1620</v>
      </c>
      <c r="B18" s="16" t="s">
        <v>1621</v>
      </c>
    </row>
    <row r="19" ht="60.0" customHeight="1">
      <c r="A19" s="17" t="s">
        <v>1622</v>
      </c>
      <c r="B19" s="18" t="s">
        <v>1623</v>
      </c>
    </row>
    <row r="20" ht="45.0" customHeight="1">
      <c r="A20" s="15" t="s">
        <v>1624</v>
      </c>
      <c r="B20" s="16" t="s">
        <v>1625</v>
      </c>
    </row>
    <row r="21" ht="45.0" customHeight="1">
      <c r="A21" s="17" t="s">
        <v>1626</v>
      </c>
      <c r="B21" s="18" t="s">
        <v>1627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1628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1629</v>
      </c>
    </row>
    <row r="28" ht="18.0" customHeight="1">
      <c r="A28" s="15" t="s">
        <v>471</v>
      </c>
      <c r="B28" s="16" t="s">
        <v>1630</v>
      </c>
    </row>
    <row r="29" ht="18.0" customHeight="1">
      <c r="A29" s="17" t="s">
        <v>473</v>
      </c>
      <c r="B29" s="18" t="s">
        <v>1631</v>
      </c>
    </row>
    <row r="30" ht="18.0" customHeight="1">
      <c r="A30" s="15" t="s">
        <v>475</v>
      </c>
      <c r="B30" s="16" t="s">
        <v>1632</v>
      </c>
    </row>
    <row r="31" ht="18.0" customHeight="1">
      <c r="A31" s="17" t="s">
        <v>477</v>
      </c>
      <c r="B31" s="18" t="s">
        <v>1483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1633</v>
      </c>
    </row>
    <row r="36" ht="18.0" customHeight="1">
      <c r="A36" s="15" t="s">
        <v>489</v>
      </c>
      <c r="B36" s="16" t="s">
        <v>1634</v>
      </c>
    </row>
    <row r="37" ht="18.0" customHeight="1">
      <c r="A37" s="17" t="s">
        <v>491</v>
      </c>
      <c r="B37" s="18" t="s">
        <v>924</v>
      </c>
    </row>
    <row r="38" ht="18.0" customHeight="1">
      <c r="A38" s="15" t="s">
        <v>493</v>
      </c>
      <c r="B38" s="16" t="s">
        <v>925</v>
      </c>
    </row>
    <row r="39" ht="18.0" customHeight="1">
      <c r="A39" s="17" t="s">
        <v>498</v>
      </c>
      <c r="B39" s="18" t="s">
        <v>926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1635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1637</v>
      </c>
    </row>
    <row r="5" ht="18.0" customHeight="1">
      <c r="A5" s="17" t="s">
        <v>413</v>
      </c>
      <c r="B5" s="18" t="s">
        <v>1638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873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423</v>
      </c>
      <c r="B10" s="16" t="s">
        <v>780</v>
      </c>
    </row>
    <row r="11" ht="18.0" customHeight="1">
      <c r="A11" s="17" t="s">
        <v>425</v>
      </c>
      <c r="B11" s="18" t="s">
        <v>1641</v>
      </c>
    </row>
    <row r="12" ht="18.0" customHeight="1">
      <c r="A12" s="15" t="s">
        <v>428</v>
      </c>
      <c r="B12" s="16" t="s">
        <v>695</v>
      </c>
    </row>
    <row r="13" ht="18.0" customHeight="1">
      <c r="A13" s="17" t="s">
        <v>430</v>
      </c>
      <c r="B13" s="18" t="s">
        <v>783</v>
      </c>
    </row>
    <row r="14" ht="18.0" customHeight="1">
      <c r="A14" s="15" t="s">
        <v>433</v>
      </c>
      <c r="B14" s="16" t="s">
        <v>1643</v>
      </c>
    </row>
    <row r="15" ht="18.0" customHeight="1">
      <c r="A15" s="17" t="s">
        <v>435</v>
      </c>
      <c r="B15" s="18" t="s">
        <v>1207</v>
      </c>
    </row>
    <row r="16" ht="18.0" customHeight="1">
      <c r="A16" s="15" t="s">
        <v>437</v>
      </c>
      <c r="B16" s="16" t="s">
        <v>1208</v>
      </c>
    </row>
    <row r="18" ht="19.5" customHeight="1">
      <c r="A18" s="13" t="s">
        <v>441</v>
      </c>
      <c r="B18" s="14"/>
    </row>
    <row r="19" ht="75.0" customHeight="1">
      <c r="A19" s="15" t="s">
        <v>1646</v>
      </c>
      <c r="B19" s="16" t="s">
        <v>1648</v>
      </c>
    </row>
    <row r="20" ht="60.0" customHeight="1">
      <c r="A20" s="17" t="s">
        <v>1650</v>
      </c>
      <c r="B20" s="18" t="s">
        <v>1653</v>
      </c>
    </row>
    <row r="21" ht="45.0" customHeight="1">
      <c r="A21" s="15" t="s">
        <v>1655</v>
      </c>
      <c r="B21" s="16" t="s">
        <v>1657</v>
      </c>
    </row>
    <row r="22" ht="75.0" customHeight="1">
      <c r="A22" s="17" t="s">
        <v>1660</v>
      </c>
      <c r="B22" s="18" t="s">
        <v>1662</v>
      </c>
    </row>
    <row r="23" ht="15.75" customHeight="1"/>
    <row r="24" ht="19.5" customHeight="1">
      <c r="A24" s="13" t="s">
        <v>456</v>
      </c>
      <c r="B24" s="14"/>
    </row>
    <row r="25" ht="18.0" customHeight="1">
      <c r="A25" s="15" t="s">
        <v>462</v>
      </c>
      <c r="B25" s="16" t="s">
        <v>1665</v>
      </c>
    </row>
    <row r="26" ht="18.0" customHeight="1">
      <c r="A26" s="17" t="s">
        <v>35</v>
      </c>
      <c r="B26" s="18" t="s">
        <v>465</v>
      </c>
    </row>
    <row r="27" ht="18.0" customHeight="1">
      <c r="A27" s="15" t="s">
        <v>466</v>
      </c>
      <c r="B27" s="16" t="s">
        <v>467</v>
      </c>
    </row>
    <row r="28" ht="18.0" customHeight="1">
      <c r="A28" s="17" t="s">
        <v>468</v>
      </c>
      <c r="B28" s="18" t="s">
        <v>1670</v>
      </c>
    </row>
    <row r="29" ht="18.0" customHeight="1">
      <c r="A29" s="15" t="s">
        <v>471</v>
      </c>
      <c r="B29" s="16" t="s">
        <v>1673</v>
      </c>
    </row>
    <row r="30" ht="18.0" customHeight="1">
      <c r="A30" s="17" t="s">
        <v>473</v>
      </c>
      <c r="B30" s="18" t="s">
        <v>1675</v>
      </c>
    </row>
    <row r="31" ht="18.0" customHeight="1">
      <c r="A31" s="15" t="s">
        <v>475</v>
      </c>
      <c r="B31" s="16" t="s">
        <v>1677</v>
      </c>
    </row>
    <row r="32" ht="18.0" customHeight="1">
      <c r="A32" s="17" t="s">
        <v>477</v>
      </c>
      <c r="B32" s="18" t="s">
        <v>1425</v>
      </c>
    </row>
    <row r="33" ht="15.75" customHeight="1"/>
    <row r="34" ht="19.5" customHeight="1">
      <c r="A34" s="13" t="s">
        <v>481</v>
      </c>
      <c r="B34" s="14"/>
    </row>
    <row r="35" ht="18.0" customHeight="1">
      <c r="A35" s="15" t="s">
        <v>485</v>
      </c>
      <c r="B35" s="16" t="s">
        <v>486</v>
      </c>
    </row>
    <row r="36" ht="18.0" customHeight="1">
      <c r="A36" s="17" t="s">
        <v>487</v>
      </c>
      <c r="B36" s="18" t="s">
        <v>1689</v>
      </c>
    </row>
    <row r="37" ht="18.0" customHeight="1">
      <c r="A37" s="15" t="s">
        <v>489</v>
      </c>
      <c r="B37" s="16" t="s">
        <v>1692</v>
      </c>
    </row>
    <row r="38" ht="18.0" customHeight="1">
      <c r="A38" s="17" t="s">
        <v>491</v>
      </c>
      <c r="B38" s="18" t="s">
        <v>969</v>
      </c>
    </row>
    <row r="39" ht="18.0" customHeight="1">
      <c r="A39" s="15" t="s">
        <v>493</v>
      </c>
      <c r="B39" s="16" t="s">
        <v>1572</v>
      </c>
    </row>
    <row r="40" ht="18.0" customHeight="1">
      <c r="A40" s="17" t="s">
        <v>498</v>
      </c>
      <c r="B40" s="18" t="s">
        <v>1694</v>
      </c>
    </row>
    <row r="41" ht="15.75" customHeight="1"/>
    <row r="42" ht="19.5" customHeight="1"/>
    <row r="43" ht="18.0" customHeight="1"/>
    <row r="44" ht="18.0" customHeight="1"/>
    <row r="45" ht="18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8:B18"/>
    <mergeCell ref="A24:B24"/>
    <mergeCell ref="A34:B34"/>
    <mergeCell ref="A42:B42"/>
  </mergeCell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1636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1639</v>
      </c>
    </row>
    <row r="5" ht="18.0" customHeight="1">
      <c r="A5" s="17" t="s">
        <v>413</v>
      </c>
      <c r="B5" s="18" t="s">
        <v>1640</v>
      </c>
    </row>
    <row r="6" ht="18.0" customHeight="1">
      <c r="A6" s="15" t="s">
        <v>416</v>
      </c>
      <c r="B6" s="16" t="s">
        <v>417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424</v>
      </c>
    </row>
    <row r="10" ht="18.0" customHeight="1">
      <c r="A10" s="15" t="s">
        <v>425</v>
      </c>
      <c r="B10" s="16" t="s">
        <v>1642</v>
      </c>
    </row>
    <row r="11" ht="18.0" customHeight="1">
      <c r="A11" s="17" t="s">
        <v>428</v>
      </c>
      <c r="B11" s="18" t="s">
        <v>1644</v>
      </c>
    </row>
    <row r="12" ht="18.0" customHeight="1">
      <c r="A12" s="15" t="s">
        <v>430</v>
      </c>
      <c r="B12" s="16" t="s">
        <v>783</v>
      </c>
    </row>
    <row r="13" ht="18.0" customHeight="1">
      <c r="A13" s="17" t="s">
        <v>433</v>
      </c>
      <c r="B13" s="18" t="s">
        <v>1645</v>
      </c>
    </row>
    <row r="14" ht="18.0" customHeight="1">
      <c r="A14" s="15" t="s">
        <v>435</v>
      </c>
      <c r="B14" s="16" t="s">
        <v>1207</v>
      </c>
    </row>
    <row r="15" ht="18.0" customHeight="1">
      <c r="A15" s="17" t="s">
        <v>437</v>
      </c>
      <c r="B15" s="18" t="s">
        <v>1208</v>
      </c>
    </row>
    <row r="17" ht="19.5" customHeight="1">
      <c r="A17" s="13" t="s">
        <v>441</v>
      </c>
      <c r="B17" s="14"/>
    </row>
    <row r="18" ht="60.0" customHeight="1">
      <c r="A18" s="15" t="s">
        <v>1647</v>
      </c>
      <c r="B18" s="16" t="s">
        <v>1649</v>
      </c>
    </row>
    <row r="19" ht="75.0" customHeight="1">
      <c r="A19" s="17" t="s">
        <v>1651</v>
      </c>
      <c r="B19" s="18" t="s">
        <v>1654</v>
      </c>
    </row>
    <row r="20" ht="45.0" customHeight="1">
      <c r="A20" s="15" t="s">
        <v>1656</v>
      </c>
      <c r="B20" s="16" t="s">
        <v>1658</v>
      </c>
    </row>
    <row r="21" ht="45.0" customHeight="1">
      <c r="A21" s="17" t="s">
        <v>1659</v>
      </c>
      <c r="B21" s="18" t="s">
        <v>1661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1663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1667</v>
      </c>
    </row>
    <row r="28" ht="18.0" customHeight="1">
      <c r="A28" s="15" t="s">
        <v>471</v>
      </c>
      <c r="B28" s="16" t="s">
        <v>1669</v>
      </c>
    </row>
    <row r="29" ht="18.0" customHeight="1">
      <c r="A29" s="17" t="s">
        <v>473</v>
      </c>
      <c r="B29" s="18" t="s">
        <v>1671</v>
      </c>
    </row>
    <row r="30" ht="18.0" customHeight="1">
      <c r="A30" s="15" t="s">
        <v>475</v>
      </c>
      <c r="B30" s="16" t="s">
        <v>1672</v>
      </c>
    </row>
    <row r="31" ht="18.0" customHeight="1">
      <c r="A31" s="17" t="s">
        <v>477</v>
      </c>
      <c r="B31" s="18" t="s">
        <v>1425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1681</v>
      </c>
    </row>
    <row r="36" ht="18.0" customHeight="1">
      <c r="A36" s="15" t="s">
        <v>489</v>
      </c>
      <c r="B36" s="16" t="s">
        <v>1682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1572</v>
      </c>
    </row>
    <row r="39" ht="18.0" customHeight="1">
      <c r="A39" s="17" t="s">
        <v>498</v>
      </c>
      <c r="B39" s="18" t="s">
        <v>827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1652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1664</v>
      </c>
    </row>
    <row r="5" ht="18.0" customHeight="1">
      <c r="A5" s="17" t="s">
        <v>413</v>
      </c>
      <c r="B5" s="18" t="s">
        <v>1666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1066</v>
      </c>
    </row>
    <row r="10" ht="18.0" customHeight="1">
      <c r="A10" s="15" t="s">
        <v>428</v>
      </c>
      <c r="B10" s="16" t="s">
        <v>1674</v>
      </c>
    </row>
    <row r="11" ht="18.0" customHeight="1">
      <c r="A11" s="17" t="s">
        <v>430</v>
      </c>
      <c r="B11" s="18" t="s">
        <v>1676</v>
      </c>
    </row>
    <row r="12" ht="18.0" customHeight="1">
      <c r="A12" s="15" t="s">
        <v>433</v>
      </c>
      <c r="B12" s="16" t="s">
        <v>1678</v>
      </c>
    </row>
    <row r="13" ht="18.0" customHeight="1">
      <c r="A13" s="17" t="s">
        <v>435</v>
      </c>
      <c r="B13" s="18" t="s">
        <v>1679</v>
      </c>
    </row>
    <row r="14" ht="18.0" customHeight="1">
      <c r="A14" s="15" t="s">
        <v>437</v>
      </c>
      <c r="B14" s="16" t="s">
        <v>1680</v>
      </c>
    </row>
    <row r="16" ht="19.5" customHeight="1">
      <c r="A16" s="13" t="s">
        <v>441</v>
      </c>
      <c r="B16" s="14"/>
    </row>
    <row r="17" ht="45.0" customHeight="1">
      <c r="A17" s="15" t="s">
        <v>1683</v>
      </c>
      <c r="B17" s="16" t="s">
        <v>1684</v>
      </c>
    </row>
    <row r="18" ht="60.0" customHeight="1">
      <c r="A18" s="17" t="s">
        <v>1685</v>
      </c>
      <c r="B18" s="18" t="s">
        <v>1686</v>
      </c>
    </row>
    <row r="19" ht="45.0" customHeight="1">
      <c r="A19" s="15" t="s">
        <v>1687</v>
      </c>
      <c r="B19" s="16" t="s">
        <v>1688</v>
      </c>
    </row>
    <row r="20" ht="45.0" customHeight="1">
      <c r="A20" s="17" t="s">
        <v>1690</v>
      </c>
      <c r="B20" s="18" t="s">
        <v>1691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1693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1695</v>
      </c>
    </row>
    <row r="27" ht="18.0" customHeight="1">
      <c r="A27" s="15" t="s">
        <v>471</v>
      </c>
      <c r="B27" s="16" t="s">
        <v>1696</v>
      </c>
    </row>
    <row r="28" ht="18.0" customHeight="1">
      <c r="A28" s="17" t="s">
        <v>473</v>
      </c>
      <c r="B28" s="18" t="s">
        <v>1697</v>
      </c>
    </row>
    <row r="29" ht="18.0" customHeight="1">
      <c r="A29" s="15" t="s">
        <v>475</v>
      </c>
      <c r="B29" s="16" t="s">
        <v>1698</v>
      </c>
    </row>
    <row r="30" ht="18.0" customHeight="1">
      <c r="A30" s="17" t="s">
        <v>477</v>
      </c>
      <c r="B30" s="18" t="s">
        <v>1699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1700</v>
      </c>
    </row>
    <row r="35" ht="18.0" customHeight="1">
      <c r="A35" s="15" t="s">
        <v>489</v>
      </c>
      <c r="B35" s="16" t="s">
        <v>1701</v>
      </c>
    </row>
    <row r="36" ht="18.0" customHeight="1">
      <c r="A36" s="17" t="s">
        <v>491</v>
      </c>
      <c r="B36" s="18" t="s">
        <v>1702</v>
      </c>
    </row>
    <row r="37" ht="18.0" customHeight="1">
      <c r="A37" s="15" t="s">
        <v>493</v>
      </c>
      <c r="B37" s="16" t="s">
        <v>1703</v>
      </c>
    </row>
    <row r="38" ht="18.0" customHeight="1">
      <c r="A38" s="17" t="s">
        <v>498</v>
      </c>
      <c r="B38" s="18" t="s">
        <v>643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1704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1705</v>
      </c>
    </row>
    <row r="5" ht="18.0" customHeight="1">
      <c r="A5" s="17" t="s">
        <v>413</v>
      </c>
      <c r="B5" s="18" t="s">
        <v>1706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1066</v>
      </c>
    </row>
    <row r="10" ht="18.0" customHeight="1">
      <c r="A10" s="15" t="s">
        <v>428</v>
      </c>
      <c r="B10" s="16" t="s">
        <v>1707</v>
      </c>
    </row>
    <row r="11" ht="18.0" customHeight="1">
      <c r="A11" s="17" t="s">
        <v>430</v>
      </c>
      <c r="B11" s="18" t="s">
        <v>1708</v>
      </c>
    </row>
    <row r="12" ht="18.0" customHeight="1">
      <c r="A12" s="15" t="s">
        <v>433</v>
      </c>
      <c r="B12" s="16" t="s">
        <v>1709</v>
      </c>
    </row>
    <row r="13" ht="18.0" customHeight="1">
      <c r="A13" s="17" t="s">
        <v>435</v>
      </c>
      <c r="B13" s="18" t="s">
        <v>1710</v>
      </c>
    </row>
    <row r="14" ht="18.0" customHeight="1">
      <c r="A14" s="15" t="s">
        <v>437</v>
      </c>
      <c r="B14" s="16" t="s">
        <v>1711</v>
      </c>
    </row>
    <row r="16" ht="19.5" customHeight="1">
      <c r="A16" s="13" t="s">
        <v>441</v>
      </c>
      <c r="B16" s="14"/>
    </row>
    <row r="17" ht="45.0" customHeight="1">
      <c r="A17" s="15" t="s">
        <v>1712</v>
      </c>
      <c r="B17" s="16" t="s">
        <v>1713</v>
      </c>
    </row>
    <row r="18" ht="75.0" customHeight="1">
      <c r="A18" s="17" t="s">
        <v>1714</v>
      </c>
      <c r="B18" s="18" t="s">
        <v>1715</v>
      </c>
    </row>
    <row r="19" ht="45.0" customHeight="1">
      <c r="A19" s="15" t="s">
        <v>1716</v>
      </c>
      <c r="B19" s="16" t="s">
        <v>1717</v>
      </c>
    </row>
    <row r="20" ht="45.0" customHeight="1">
      <c r="A20" s="17" t="s">
        <v>1718</v>
      </c>
      <c r="B20" s="18" t="s">
        <v>1719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1720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1721</v>
      </c>
    </row>
    <row r="27" ht="18.0" customHeight="1">
      <c r="A27" s="15" t="s">
        <v>471</v>
      </c>
      <c r="B27" s="16" t="s">
        <v>1722</v>
      </c>
    </row>
    <row r="28" ht="18.0" customHeight="1">
      <c r="A28" s="17" t="s">
        <v>473</v>
      </c>
      <c r="B28" s="18" t="s">
        <v>1723</v>
      </c>
    </row>
    <row r="29" ht="18.0" customHeight="1">
      <c r="A29" s="15" t="s">
        <v>475</v>
      </c>
      <c r="B29" s="16" t="s">
        <v>1724</v>
      </c>
    </row>
    <row r="30" ht="18.0" customHeight="1">
      <c r="A30" s="17" t="s">
        <v>477</v>
      </c>
      <c r="B30" s="18" t="s">
        <v>1725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1726</v>
      </c>
    </row>
    <row r="35" ht="18.0" customHeight="1">
      <c r="A35" s="15" t="s">
        <v>489</v>
      </c>
      <c r="B35" s="16" t="s">
        <v>1727</v>
      </c>
    </row>
    <row r="36" ht="18.0" customHeight="1">
      <c r="A36" s="17" t="s">
        <v>491</v>
      </c>
      <c r="B36" s="18" t="s">
        <v>1728</v>
      </c>
    </row>
    <row r="37" ht="18.0" customHeight="1">
      <c r="A37" s="15" t="s">
        <v>493</v>
      </c>
      <c r="B37" s="16" t="s">
        <v>1729</v>
      </c>
    </row>
    <row r="38" ht="18.0" customHeight="1">
      <c r="A38" s="17" t="s">
        <v>498</v>
      </c>
      <c r="B38" s="18" t="s">
        <v>1730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1731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1732</v>
      </c>
    </row>
    <row r="5" ht="18.0" customHeight="1">
      <c r="A5" s="17" t="s">
        <v>413</v>
      </c>
      <c r="B5" s="18" t="s">
        <v>1733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1066</v>
      </c>
    </row>
    <row r="10" ht="18.0" customHeight="1">
      <c r="A10" s="15" t="s">
        <v>428</v>
      </c>
      <c r="B10" s="16" t="s">
        <v>1735</v>
      </c>
    </row>
    <row r="11" ht="18.0" customHeight="1">
      <c r="A11" s="17" t="s">
        <v>430</v>
      </c>
      <c r="B11" s="18" t="s">
        <v>1736</v>
      </c>
    </row>
    <row r="12" ht="18.0" customHeight="1">
      <c r="A12" s="15" t="s">
        <v>433</v>
      </c>
      <c r="B12" s="16" t="s">
        <v>1737</v>
      </c>
    </row>
    <row r="13" ht="18.0" customHeight="1">
      <c r="A13" s="17" t="s">
        <v>435</v>
      </c>
      <c r="B13" s="18" t="s">
        <v>1738</v>
      </c>
    </row>
    <row r="14" ht="18.0" customHeight="1">
      <c r="A14" s="15" t="s">
        <v>437</v>
      </c>
      <c r="B14" s="16" t="s">
        <v>1208</v>
      </c>
    </row>
    <row r="16" ht="19.5" customHeight="1">
      <c r="A16" s="13" t="s">
        <v>441</v>
      </c>
      <c r="B16" s="14"/>
    </row>
    <row r="17" ht="60.0" customHeight="1">
      <c r="A17" s="15" t="s">
        <v>1740</v>
      </c>
      <c r="B17" s="16" t="s">
        <v>1741</v>
      </c>
    </row>
    <row r="18" ht="60.0" customHeight="1">
      <c r="A18" s="17" t="s">
        <v>1743</v>
      </c>
      <c r="B18" s="18" t="s">
        <v>1744</v>
      </c>
    </row>
    <row r="19" ht="75.0" customHeight="1">
      <c r="A19" s="15" t="s">
        <v>1745</v>
      </c>
      <c r="B19" s="16" t="s">
        <v>1746</v>
      </c>
    </row>
    <row r="20" ht="45.0" customHeight="1">
      <c r="A20" s="17" t="s">
        <v>1747</v>
      </c>
      <c r="B20" s="18" t="s">
        <v>1748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1752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1755</v>
      </c>
    </row>
    <row r="27" ht="18.0" customHeight="1">
      <c r="A27" s="15" t="s">
        <v>471</v>
      </c>
      <c r="B27" s="16" t="s">
        <v>1757</v>
      </c>
    </row>
    <row r="28" ht="18.0" customHeight="1">
      <c r="A28" s="17" t="s">
        <v>473</v>
      </c>
      <c r="B28" s="18" t="s">
        <v>1760</v>
      </c>
    </row>
    <row r="29" ht="18.0" customHeight="1">
      <c r="A29" s="15" t="s">
        <v>475</v>
      </c>
      <c r="B29" s="16" t="s">
        <v>1763</v>
      </c>
    </row>
    <row r="30" ht="18.0" customHeight="1">
      <c r="A30" s="17" t="s">
        <v>477</v>
      </c>
      <c r="B30" s="18" t="s">
        <v>1764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1768</v>
      </c>
    </row>
    <row r="35" ht="18.0" customHeight="1">
      <c r="A35" s="15" t="s">
        <v>489</v>
      </c>
      <c r="B35" s="16" t="s">
        <v>1771</v>
      </c>
    </row>
    <row r="36" ht="18.0" customHeight="1">
      <c r="A36" s="17" t="s">
        <v>491</v>
      </c>
      <c r="B36" s="18" t="s">
        <v>1772</v>
      </c>
    </row>
    <row r="37" ht="18.0" customHeight="1">
      <c r="A37" s="15" t="s">
        <v>493</v>
      </c>
      <c r="B37" s="16" t="s">
        <v>1135</v>
      </c>
    </row>
    <row r="38" ht="18.0" customHeight="1">
      <c r="A38" s="17" t="s">
        <v>498</v>
      </c>
      <c r="B38" s="18" t="s">
        <v>1775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1734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1739</v>
      </c>
    </row>
    <row r="5" ht="18.0" customHeight="1">
      <c r="A5" s="17" t="s">
        <v>413</v>
      </c>
      <c r="B5" s="18" t="s">
        <v>1742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1066</v>
      </c>
    </row>
    <row r="10" ht="18.0" customHeight="1">
      <c r="A10" s="15" t="s">
        <v>428</v>
      </c>
      <c r="B10" s="16" t="s">
        <v>1749</v>
      </c>
    </row>
    <row r="11" ht="18.0" customHeight="1">
      <c r="A11" s="17" t="s">
        <v>430</v>
      </c>
      <c r="B11" s="18" t="s">
        <v>1750</v>
      </c>
    </row>
    <row r="12" ht="18.0" customHeight="1">
      <c r="A12" s="15" t="s">
        <v>433</v>
      </c>
      <c r="B12" s="16" t="s">
        <v>1751</v>
      </c>
    </row>
    <row r="13" ht="18.0" customHeight="1">
      <c r="A13" s="17" t="s">
        <v>435</v>
      </c>
      <c r="B13" s="18" t="s">
        <v>1753</v>
      </c>
    </row>
    <row r="14" ht="18.0" customHeight="1">
      <c r="A14" s="15" t="s">
        <v>437</v>
      </c>
      <c r="B14" s="16" t="s">
        <v>1754</v>
      </c>
    </row>
    <row r="16" ht="19.5" customHeight="1">
      <c r="A16" s="13" t="s">
        <v>441</v>
      </c>
      <c r="B16" s="14"/>
    </row>
    <row r="17" ht="45.0" customHeight="1">
      <c r="A17" s="15" t="s">
        <v>1756</v>
      </c>
      <c r="B17" s="16" t="s">
        <v>1758</v>
      </c>
    </row>
    <row r="18" ht="60.0" customHeight="1">
      <c r="A18" s="17" t="s">
        <v>1759</v>
      </c>
      <c r="B18" s="18" t="s">
        <v>1761</v>
      </c>
    </row>
    <row r="19" ht="60.0" customHeight="1">
      <c r="A19" s="15" t="s">
        <v>1762</v>
      </c>
      <c r="B19" s="16" t="s">
        <v>1765</v>
      </c>
    </row>
    <row r="20" ht="30.0" customHeight="1">
      <c r="A20" s="17" t="s">
        <v>1766</v>
      </c>
      <c r="B20" s="18" t="s">
        <v>1767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1769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1773</v>
      </c>
    </row>
    <row r="27" ht="18.0" customHeight="1">
      <c r="A27" s="15" t="s">
        <v>471</v>
      </c>
      <c r="B27" s="16" t="s">
        <v>1774</v>
      </c>
    </row>
    <row r="28" ht="18.0" customHeight="1">
      <c r="A28" s="17" t="s">
        <v>473</v>
      </c>
      <c r="B28" s="18" t="s">
        <v>1776</v>
      </c>
    </row>
    <row r="29" ht="18.0" customHeight="1">
      <c r="A29" s="15" t="s">
        <v>475</v>
      </c>
      <c r="B29" s="16" t="s">
        <v>1777</v>
      </c>
    </row>
    <row r="30" ht="18.0" customHeight="1">
      <c r="A30" s="17" t="s">
        <v>477</v>
      </c>
      <c r="B30" s="18" t="s">
        <v>1778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1779</v>
      </c>
    </row>
    <row r="35" ht="18.0" customHeight="1">
      <c r="A35" s="15" t="s">
        <v>489</v>
      </c>
      <c r="B35" s="16" t="s">
        <v>1781</v>
      </c>
    </row>
    <row r="36" ht="18.0" customHeight="1">
      <c r="A36" s="17" t="s">
        <v>491</v>
      </c>
      <c r="B36" s="18" t="s">
        <v>1782</v>
      </c>
    </row>
    <row r="37" ht="18.0" customHeight="1">
      <c r="A37" s="15" t="s">
        <v>493</v>
      </c>
      <c r="B37" s="16" t="s">
        <v>1783</v>
      </c>
    </row>
    <row r="38" ht="18.0" customHeight="1">
      <c r="A38" s="17" t="s">
        <v>498</v>
      </c>
      <c r="B38" s="18" t="s">
        <v>1785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1770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1780</v>
      </c>
    </row>
    <row r="5" ht="18.0" customHeight="1">
      <c r="A5" s="17" t="s">
        <v>413</v>
      </c>
      <c r="B5" s="18" t="s">
        <v>1784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425</v>
      </c>
      <c r="B9" s="18" t="s">
        <v>1066</v>
      </c>
    </row>
    <row r="10" ht="18.0" customHeight="1">
      <c r="A10" s="15" t="s">
        <v>428</v>
      </c>
      <c r="B10" s="16" t="s">
        <v>1786</v>
      </c>
    </row>
    <row r="11" ht="18.0" customHeight="1">
      <c r="A11" s="17" t="s">
        <v>430</v>
      </c>
      <c r="B11" s="18" t="s">
        <v>1787</v>
      </c>
    </row>
    <row r="12" ht="18.0" customHeight="1">
      <c r="A12" s="15" t="s">
        <v>433</v>
      </c>
      <c r="B12" s="16" t="s">
        <v>1788</v>
      </c>
    </row>
    <row r="13" ht="18.0" customHeight="1">
      <c r="A13" s="17" t="s">
        <v>435</v>
      </c>
      <c r="B13" s="18" t="s">
        <v>1789</v>
      </c>
    </row>
    <row r="14" ht="18.0" customHeight="1">
      <c r="A14" s="15" t="s">
        <v>437</v>
      </c>
      <c r="B14" s="16" t="s">
        <v>1087</v>
      </c>
    </row>
    <row r="16" ht="19.5" customHeight="1">
      <c r="A16" s="13" t="s">
        <v>441</v>
      </c>
      <c r="B16" s="14"/>
    </row>
    <row r="17" ht="45.0" customHeight="1">
      <c r="A17" s="15" t="s">
        <v>1790</v>
      </c>
      <c r="B17" s="16" t="s">
        <v>1791</v>
      </c>
    </row>
    <row r="18" ht="60.0" customHeight="1">
      <c r="A18" s="17" t="s">
        <v>1792</v>
      </c>
      <c r="B18" s="18" t="s">
        <v>1793</v>
      </c>
    </row>
    <row r="19" ht="60.0" customHeight="1">
      <c r="A19" s="15" t="s">
        <v>1794</v>
      </c>
      <c r="B19" s="16" t="s">
        <v>1795</v>
      </c>
    </row>
    <row r="20" ht="45.0" customHeight="1">
      <c r="A20" s="17" t="s">
        <v>1796</v>
      </c>
      <c r="B20" s="18" t="s">
        <v>1797</v>
      </c>
    </row>
    <row r="21" ht="15.75" customHeight="1"/>
    <row r="22" ht="19.5" customHeight="1">
      <c r="A22" s="13" t="s">
        <v>456</v>
      </c>
      <c r="B22" s="14"/>
    </row>
    <row r="23" ht="18.0" customHeight="1">
      <c r="A23" s="15" t="s">
        <v>462</v>
      </c>
      <c r="B23" s="16" t="s">
        <v>1798</v>
      </c>
    </row>
    <row r="24" ht="18.0" customHeight="1">
      <c r="A24" s="17" t="s">
        <v>35</v>
      </c>
      <c r="B24" s="18" t="s">
        <v>465</v>
      </c>
    </row>
    <row r="25" ht="18.0" customHeight="1">
      <c r="A25" s="15" t="s">
        <v>466</v>
      </c>
      <c r="B25" s="16" t="s">
        <v>467</v>
      </c>
    </row>
    <row r="26" ht="18.0" customHeight="1">
      <c r="A26" s="17" t="s">
        <v>468</v>
      </c>
      <c r="B26" s="18" t="s">
        <v>1800</v>
      </c>
    </row>
    <row r="27" ht="18.0" customHeight="1">
      <c r="A27" s="15" t="s">
        <v>471</v>
      </c>
      <c r="B27" s="16" t="s">
        <v>1801</v>
      </c>
    </row>
    <row r="28" ht="18.0" customHeight="1">
      <c r="A28" s="17" t="s">
        <v>473</v>
      </c>
      <c r="B28" s="18" t="s">
        <v>1802</v>
      </c>
    </row>
    <row r="29" ht="18.0" customHeight="1">
      <c r="A29" s="15" t="s">
        <v>475</v>
      </c>
      <c r="B29" s="16" t="s">
        <v>1803</v>
      </c>
    </row>
    <row r="30" ht="18.0" customHeight="1">
      <c r="A30" s="17" t="s">
        <v>477</v>
      </c>
      <c r="B30" s="18" t="s">
        <v>1805</v>
      </c>
    </row>
    <row r="31" ht="15.75" customHeight="1"/>
    <row r="32" ht="19.5" customHeight="1">
      <c r="A32" s="13" t="s">
        <v>481</v>
      </c>
      <c r="B32" s="14"/>
    </row>
    <row r="33" ht="18.0" customHeight="1">
      <c r="A33" s="15" t="s">
        <v>485</v>
      </c>
      <c r="B33" s="16" t="s">
        <v>486</v>
      </c>
    </row>
    <row r="34" ht="18.0" customHeight="1">
      <c r="A34" s="17" t="s">
        <v>487</v>
      </c>
      <c r="B34" s="18" t="s">
        <v>1807</v>
      </c>
    </row>
    <row r="35" ht="18.0" customHeight="1">
      <c r="A35" s="15" t="s">
        <v>489</v>
      </c>
      <c r="B35" s="16" t="s">
        <v>1808</v>
      </c>
    </row>
    <row r="36" ht="18.0" customHeight="1">
      <c r="A36" s="17" t="s">
        <v>491</v>
      </c>
      <c r="B36" s="18" t="s">
        <v>1809</v>
      </c>
    </row>
    <row r="37" ht="18.0" customHeight="1">
      <c r="A37" s="15" t="s">
        <v>493</v>
      </c>
      <c r="B37" s="16" t="s">
        <v>1135</v>
      </c>
    </row>
    <row r="38" ht="18.0" customHeight="1">
      <c r="A38" s="17" t="s">
        <v>498</v>
      </c>
      <c r="B38" s="18" t="s">
        <v>1812</v>
      </c>
    </row>
    <row r="39" ht="15.75" customHeight="1"/>
    <row r="40" ht="19.5" customHeight="1"/>
    <row r="41" ht="18.0" customHeight="1"/>
    <row r="42" ht="18.0" customHeight="1"/>
    <row r="43" ht="18.0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6:B16"/>
    <mergeCell ref="A22:B22"/>
    <mergeCell ref="A32:B32"/>
    <mergeCell ref="A40:B40"/>
  </mergeCells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1799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1804</v>
      </c>
    </row>
    <row r="5" ht="18.0" customHeight="1">
      <c r="A5" s="17" t="s">
        <v>413</v>
      </c>
      <c r="B5" s="18" t="s">
        <v>1806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616</v>
      </c>
      <c r="B9" s="18" t="s">
        <v>617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1786</v>
      </c>
    </row>
    <row r="12" ht="18.0" customHeight="1">
      <c r="A12" s="15" t="s">
        <v>430</v>
      </c>
      <c r="B12" s="16" t="s">
        <v>1810</v>
      </c>
    </row>
    <row r="13" ht="18.0" customHeight="1">
      <c r="A13" s="17" t="s">
        <v>433</v>
      </c>
      <c r="B13" s="18" t="s">
        <v>1811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45.0" customHeight="1">
      <c r="A18" s="15" t="s">
        <v>1813</v>
      </c>
      <c r="B18" s="16" t="s">
        <v>1814</v>
      </c>
    </row>
    <row r="19" ht="60.0" customHeight="1">
      <c r="A19" s="17" t="s">
        <v>1815</v>
      </c>
      <c r="B19" s="18" t="s">
        <v>1816</v>
      </c>
    </row>
    <row r="20" ht="45.0" customHeight="1">
      <c r="A20" s="15" t="s">
        <v>1817</v>
      </c>
      <c r="B20" s="16" t="s">
        <v>1818</v>
      </c>
    </row>
    <row r="21" ht="45.0" customHeight="1">
      <c r="A21" s="17" t="s">
        <v>1819</v>
      </c>
      <c r="B21" s="18" t="s">
        <v>1820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1821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1822</v>
      </c>
    </row>
    <row r="28" ht="18.0" customHeight="1">
      <c r="A28" s="15" t="s">
        <v>471</v>
      </c>
      <c r="B28" s="16" t="s">
        <v>1823</v>
      </c>
    </row>
    <row r="29" ht="18.0" customHeight="1">
      <c r="A29" s="17" t="s">
        <v>473</v>
      </c>
      <c r="B29" s="18" t="s">
        <v>1824</v>
      </c>
    </row>
    <row r="30" ht="18.0" customHeight="1">
      <c r="A30" s="15" t="s">
        <v>475</v>
      </c>
      <c r="B30" s="16" t="s">
        <v>1825</v>
      </c>
    </row>
    <row r="31" ht="18.0" customHeight="1">
      <c r="A31" s="17" t="s">
        <v>477</v>
      </c>
      <c r="B31" s="18" t="s">
        <v>1826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1827</v>
      </c>
    </row>
    <row r="36" ht="18.0" customHeight="1">
      <c r="A36" s="15" t="s">
        <v>489</v>
      </c>
      <c r="B36" s="16" t="s">
        <v>1828</v>
      </c>
    </row>
    <row r="37" ht="18.0" customHeight="1">
      <c r="A37" s="17" t="s">
        <v>491</v>
      </c>
      <c r="B37" s="18" t="s">
        <v>1829</v>
      </c>
    </row>
    <row r="38" ht="18.0" customHeight="1">
      <c r="A38" s="15" t="s">
        <v>493</v>
      </c>
      <c r="B38" s="16" t="s">
        <v>1830</v>
      </c>
    </row>
    <row r="39" ht="18.0" customHeight="1">
      <c r="A39" s="17" t="s">
        <v>498</v>
      </c>
      <c r="B39" s="18" t="s">
        <v>1055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1831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1832</v>
      </c>
    </row>
    <row r="5" ht="18.0" customHeight="1">
      <c r="A5" s="17" t="s">
        <v>413</v>
      </c>
      <c r="B5" s="18" t="s">
        <v>1121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1835</v>
      </c>
    </row>
    <row r="11" ht="18.0" customHeight="1">
      <c r="A11" s="17" t="s">
        <v>428</v>
      </c>
      <c r="B11" s="18" t="s">
        <v>1735</v>
      </c>
    </row>
    <row r="12" ht="18.0" customHeight="1">
      <c r="A12" s="15" t="s">
        <v>430</v>
      </c>
      <c r="B12" s="16" t="s">
        <v>1837</v>
      </c>
    </row>
    <row r="13" ht="18.0" customHeight="1">
      <c r="A13" s="17" t="s">
        <v>433</v>
      </c>
      <c r="B13" s="18" t="s">
        <v>1839</v>
      </c>
    </row>
    <row r="14" ht="18.0" customHeight="1">
      <c r="A14" s="15" t="s">
        <v>435</v>
      </c>
      <c r="B14" s="16" t="s">
        <v>1738</v>
      </c>
    </row>
    <row r="15" ht="18.0" customHeight="1">
      <c r="A15" s="17" t="s">
        <v>437</v>
      </c>
      <c r="B15" s="18" t="s">
        <v>1208</v>
      </c>
    </row>
    <row r="17" ht="19.5" customHeight="1">
      <c r="A17" s="13" t="s">
        <v>441</v>
      </c>
      <c r="B17" s="14"/>
    </row>
    <row r="18" ht="75.0" customHeight="1">
      <c r="A18" s="15" t="s">
        <v>1840</v>
      </c>
      <c r="B18" s="16" t="s">
        <v>1841</v>
      </c>
    </row>
    <row r="19" ht="75.0" customHeight="1">
      <c r="A19" s="17" t="s">
        <v>1843</v>
      </c>
      <c r="B19" s="18" t="s">
        <v>1844</v>
      </c>
    </row>
    <row r="20" ht="30.0" customHeight="1">
      <c r="A20" s="15" t="s">
        <v>1845</v>
      </c>
      <c r="B20" s="16" t="s">
        <v>1846</v>
      </c>
    </row>
    <row r="21" ht="45.0" customHeight="1">
      <c r="A21" s="17" t="s">
        <v>1850</v>
      </c>
      <c r="B21" s="18" t="s">
        <v>1851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1853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1857</v>
      </c>
    </row>
    <row r="28" ht="18.0" customHeight="1">
      <c r="A28" s="15" t="s">
        <v>471</v>
      </c>
      <c r="B28" s="16" t="s">
        <v>1859</v>
      </c>
    </row>
    <row r="29" ht="18.0" customHeight="1">
      <c r="A29" s="17" t="s">
        <v>473</v>
      </c>
      <c r="B29" s="18" t="s">
        <v>1862</v>
      </c>
    </row>
    <row r="30" ht="18.0" customHeight="1">
      <c r="A30" s="15" t="s">
        <v>475</v>
      </c>
      <c r="B30" s="16" t="s">
        <v>1864</v>
      </c>
    </row>
    <row r="31" ht="18.0" customHeight="1">
      <c r="A31" s="17" t="s">
        <v>477</v>
      </c>
      <c r="B31" s="18" t="s">
        <v>1865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1867</v>
      </c>
    </row>
    <row r="36" ht="18.0" customHeight="1">
      <c r="A36" s="15" t="s">
        <v>489</v>
      </c>
      <c r="B36" s="16" t="s">
        <v>1868</v>
      </c>
    </row>
    <row r="37" ht="18.0" customHeight="1">
      <c r="A37" s="17" t="s">
        <v>491</v>
      </c>
      <c r="B37" s="18" t="s">
        <v>1870</v>
      </c>
    </row>
    <row r="38" ht="18.0" customHeight="1">
      <c r="A38" s="15" t="s">
        <v>493</v>
      </c>
      <c r="B38" s="16" t="s">
        <v>1872</v>
      </c>
    </row>
    <row r="39" ht="18.0" customHeight="1">
      <c r="A39" s="17" t="s">
        <v>498</v>
      </c>
      <c r="B39" s="18" t="s">
        <v>1874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1833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1836</v>
      </c>
    </row>
    <row r="5" ht="18.0" customHeight="1">
      <c r="A5" s="17" t="s">
        <v>413</v>
      </c>
      <c r="B5" s="18" t="s">
        <v>1838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1842</v>
      </c>
    </row>
    <row r="11" ht="18.0" customHeight="1">
      <c r="A11" s="17" t="s">
        <v>428</v>
      </c>
      <c r="B11" s="18" t="s">
        <v>1786</v>
      </c>
    </row>
    <row r="12" ht="18.0" customHeight="1">
      <c r="A12" s="15" t="s">
        <v>430</v>
      </c>
      <c r="B12" s="16" t="s">
        <v>1847</v>
      </c>
    </row>
    <row r="13" ht="18.0" customHeight="1">
      <c r="A13" s="17" t="s">
        <v>433</v>
      </c>
      <c r="B13" s="18" t="s">
        <v>1848</v>
      </c>
    </row>
    <row r="14" ht="18.0" customHeight="1">
      <c r="A14" s="15" t="s">
        <v>435</v>
      </c>
      <c r="B14" s="16" t="s">
        <v>1849</v>
      </c>
    </row>
    <row r="15" ht="18.0" customHeight="1">
      <c r="A15" s="17" t="s">
        <v>437</v>
      </c>
      <c r="B15" s="18" t="s">
        <v>1852</v>
      </c>
    </row>
    <row r="17" ht="19.5" customHeight="1">
      <c r="A17" s="13" t="s">
        <v>441</v>
      </c>
      <c r="B17" s="14"/>
    </row>
    <row r="18" ht="60.0" customHeight="1">
      <c r="A18" s="15" t="s">
        <v>936</v>
      </c>
      <c r="B18" s="16" t="s">
        <v>1854</v>
      </c>
    </row>
    <row r="19" ht="75.0" customHeight="1">
      <c r="A19" s="17" t="s">
        <v>1855</v>
      </c>
      <c r="B19" s="18" t="s">
        <v>1856</v>
      </c>
    </row>
    <row r="20" ht="60.0" customHeight="1">
      <c r="A20" s="15" t="s">
        <v>1858</v>
      </c>
      <c r="B20" s="16" t="s">
        <v>1860</v>
      </c>
    </row>
    <row r="21" ht="45.0" customHeight="1">
      <c r="A21" s="17" t="s">
        <v>1861</v>
      </c>
      <c r="B21" s="18" t="s">
        <v>1863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1866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1869</v>
      </c>
    </row>
    <row r="28" ht="18.0" customHeight="1">
      <c r="A28" s="15" t="s">
        <v>471</v>
      </c>
      <c r="B28" s="16" t="s">
        <v>1871</v>
      </c>
    </row>
    <row r="29" ht="18.0" customHeight="1">
      <c r="A29" s="17" t="s">
        <v>473</v>
      </c>
      <c r="B29" s="18" t="s">
        <v>1873</v>
      </c>
    </row>
    <row r="30" ht="18.0" customHeight="1">
      <c r="A30" s="15" t="s">
        <v>475</v>
      </c>
      <c r="B30" s="16" t="s">
        <v>1875</v>
      </c>
    </row>
    <row r="31" ht="18.0" customHeight="1">
      <c r="A31" s="17" t="s">
        <v>477</v>
      </c>
      <c r="B31" s="18" t="s">
        <v>1876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1877</v>
      </c>
    </row>
    <row r="36" ht="18.0" customHeight="1">
      <c r="A36" s="15" t="s">
        <v>489</v>
      </c>
      <c r="B36" s="16" t="s">
        <v>1878</v>
      </c>
    </row>
    <row r="37" ht="18.0" customHeight="1">
      <c r="A37" s="17" t="s">
        <v>491</v>
      </c>
      <c r="B37" s="18" t="s">
        <v>1879</v>
      </c>
    </row>
    <row r="38" ht="18.0" customHeight="1">
      <c r="A38" s="15" t="s">
        <v>493</v>
      </c>
      <c r="B38" s="16" t="s">
        <v>1880</v>
      </c>
    </row>
    <row r="39" ht="18.0" customHeight="1">
      <c r="A39" s="17" t="s">
        <v>498</v>
      </c>
      <c r="B39" s="18" t="s">
        <v>910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1881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1882</v>
      </c>
    </row>
    <row r="5" ht="18.0" customHeight="1">
      <c r="A5" s="17" t="s">
        <v>413</v>
      </c>
      <c r="B5" s="18" t="s">
        <v>1883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1885</v>
      </c>
    </row>
    <row r="11" ht="18.0" customHeight="1">
      <c r="A11" s="17" t="s">
        <v>428</v>
      </c>
      <c r="B11" s="18" t="s">
        <v>1886</v>
      </c>
    </row>
    <row r="12" ht="18.0" customHeight="1">
      <c r="A12" s="15" t="s">
        <v>430</v>
      </c>
      <c r="B12" s="16" t="s">
        <v>1887</v>
      </c>
    </row>
    <row r="13" ht="18.0" customHeight="1">
      <c r="A13" s="17" t="s">
        <v>433</v>
      </c>
      <c r="B13" s="18" t="s">
        <v>1811</v>
      </c>
    </row>
    <row r="14" ht="18.0" customHeight="1">
      <c r="A14" s="15" t="s">
        <v>435</v>
      </c>
      <c r="B14" s="16" t="s">
        <v>1406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75.0" customHeight="1">
      <c r="A18" s="15" t="s">
        <v>1888</v>
      </c>
      <c r="B18" s="16" t="s">
        <v>1889</v>
      </c>
    </row>
    <row r="19" ht="60.0" customHeight="1">
      <c r="A19" s="17" t="s">
        <v>1890</v>
      </c>
      <c r="B19" s="18" t="s">
        <v>1891</v>
      </c>
    </row>
    <row r="20" ht="60.0" customHeight="1">
      <c r="A20" s="15" t="s">
        <v>1892</v>
      </c>
      <c r="B20" s="16" t="s">
        <v>1893</v>
      </c>
    </row>
    <row r="21" ht="45.0" customHeight="1">
      <c r="A21" s="17" t="s">
        <v>1894</v>
      </c>
      <c r="B21" s="18" t="s">
        <v>1895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1896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1897</v>
      </c>
    </row>
    <row r="28" ht="18.0" customHeight="1">
      <c r="A28" s="15" t="s">
        <v>471</v>
      </c>
      <c r="B28" s="16" t="s">
        <v>1898</v>
      </c>
    </row>
    <row r="29" ht="18.0" customHeight="1">
      <c r="A29" s="17" t="s">
        <v>473</v>
      </c>
      <c r="B29" s="18" t="s">
        <v>1899</v>
      </c>
    </row>
    <row r="30" ht="18.0" customHeight="1">
      <c r="A30" s="15" t="s">
        <v>475</v>
      </c>
      <c r="B30" s="16" t="s">
        <v>1900</v>
      </c>
    </row>
    <row r="31" ht="18.0" customHeight="1">
      <c r="A31" s="17" t="s">
        <v>477</v>
      </c>
      <c r="B31" s="18" t="s">
        <v>1902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1903</v>
      </c>
    </row>
    <row r="36" ht="18.0" customHeight="1">
      <c r="A36" s="15" t="s">
        <v>489</v>
      </c>
      <c r="B36" s="16" t="s">
        <v>1904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1905</v>
      </c>
    </row>
    <row r="39" ht="18.0" customHeight="1">
      <c r="A39" s="17" t="s">
        <v>498</v>
      </c>
      <c r="B39" s="18" t="s">
        <v>1906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1901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1907</v>
      </c>
    </row>
    <row r="5" ht="18.0" customHeight="1">
      <c r="A5" s="17" t="s">
        <v>413</v>
      </c>
      <c r="B5" s="18" t="s">
        <v>1908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1910</v>
      </c>
    </row>
    <row r="11" ht="18.0" customHeight="1">
      <c r="A11" s="17" t="s">
        <v>428</v>
      </c>
      <c r="B11" s="18" t="s">
        <v>1911</v>
      </c>
    </row>
    <row r="12" ht="18.0" customHeight="1">
      <c r="A12" s="15" t="s">
        <v>430</v>
      </c>
      <c r="B12" s="16" t="s">
        <v>1912</v>
      </c>
    </row>
    <row r="13" ht="18.0" customHeight="1">
      <c r="A13" s="17" t="s">
        <v>433</v>
      </c>
      <c r="B13" s="18" t="s">
        <v>1913</v>
      </c>
    </row>
    <row r="14" ht="18.0" customHeight="1">
      <c r="A14" s="15" t="s">
        <v>435</v>
      </c>
      <c r="B14" s="16" t="s">
        <v>1849</v>
      </c>
    </row>
    <row r="15" ht="18.0" customHeight="1">
      <c r="A15" s="17" t="s">
        <v>437</v>
      </c>
      <c r="B15" s="18" t="s">
        <v>1852</v>
      </c>
    </row>
    <row r="17" ht="19.5" customHeight="1">
      <c r="A17" s="13" t="s">
        <v>441</v>
      </c>
      <c r="B17" s="14"/>
    </row>
    <row r="18" ht="60.0" customHeight="1">
      <c r="A18" s="15" t="s">
        <v>1259</v>
      </c>
      <c r="B18" s="16" t="s">
        <v>1914</v>
      </c>
    </row>
    <row r="19" ht="60.0" customHeight="1">
      <c r="A19" s="17" t="s">
        <v>1915</v>
      </c>
      <c r="B19" s="18" t="s">
        <v>1917</v>
      </c>
    </row>
    <row r="20" ht="30.0" customHeight="1">
      <c r="A20" s="15" t="s">
        <v>1918</v>
      </c>
      <c r="B20" s="16" t="s">
        <v>1919</v>
      </c>
    </row>
    <row r="21" ht="75.0" customHeight="1">
      <c r="A21" s="17" t="s">
        <v>1920</v>
      </c>
      <c r="B21" s="18" t="s">
        <v>1921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1923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1926</v>
      </c>
    </row>
    <row r="28" ht="18.0" customHeight="1">
      <c r="A28" s="15" t="s">
        <v>471</v>
      </c>
      <c r="B28" s="16" t="s">
        <v>1927</v>
      </c>
    </row>
    <row r="29" ht="18.0" customHeight="1">
      <c r="A29" s="17" t="s">
        <v>473</v>
      </c>
      <c r="B29" s="18" t="s">
        <v>1930</v>
      </c>
    </row>
    <row r="30" ht="18.0" customHeight="1">
      <c r="A30" s="15" t="s">
        <v>475</v>
      </c>
      <c r="B30" s="16" t="s">
        <v>1931</v>
      </c>
    </row>
    <row r="31" ht="18.0" customHeight="1">
      <c r="A31" s="17" t="s">
        <v>477</v>
      </c>
      <c r="B31" s="18" t="s">
        <v>1934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1940</v>
      </c>
    </row>
    <row r="36" ht="18.0" customHeight="1">
      <c r="A36" s="15" t="s">
        <v>489</v>
      </c>
      <c r="B36" s="16" t="s">
        <v>1943</v>
      </c>
    </row>
    <row r="37" ht="18.0" customHeight="1">
      <c r="A37" s="17" t="s">
        <v>491</v>
      </c>
      <c r="B37" s="18" t="s">
        <v>1250</v>
      </c>
    </row>
    <row r="38" ht="18.0" customHeight="1">
      <c r="A38" s="15" t="s">
        <v>493</v>
      </c>
      <c r="B38" s="16" t="s">
        <v>1252</v>
      </c>
    </row>
    <row r="39" ht="18.0" customHeight="1">
      <c r="A39" s="17" t="s">
        <v>498</v>
      </c>
      <c r="B39" s="18" t="s">
        <v>1253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1916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1922</v>
      </c>
    </row>
    <row r="5" ht="18.0" customHeight="1">
      <c r="A5" s="17" t="s">
        <v>413</v>
      </c>
      <c r="B5" s="18" t="s">
        <v>1924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1928</v>
      </c>
    </row>
    <row r="11" ht="18.0" customHeight="1">
      <c r="A11" s="17" t="s">
        <v>428</v>
      </c>
      <c r="B11" s="18" t="s">
        <v>1929</v>
      </c>
    </row>
    <row r="12" ht="18.0" customHeight="1">
      <c r="A12" s="15" t="s">
        <v>430</v>
      </c>
      <c r="B12" s="16" t="s">
        <v>1887</v>
      </c>
    </row>
    <row r="13" ht="18.0" customHeight="1">
      <c r="A13" s="17" t="s">
        <v>433</v>
      </c>
      <c r="B13" s="18" t="s">
        <v>1932</v>
      </c>
    </row>
    <row r="14" ht="18.0" customHeight="1">
      <c r="A14" s="15" t="s">
        <v>435</v>
      </c>
      <c r="B14" s="16" t="s">
        <v>1933</v>
      </c>
    </row>
    <row r="15" ht="18.0" customHeight="1">
      <c r="A15" s="17" t="s">
        <v>437</v>
      </c>
      <c r="B15" s="18" t="s">
        <v>1935</v>
      </c>
    </row>
    <row r="17" ht="19.5" customHeight="1">
      <c r="A17" s="13" t="s">
        <v>441</v>
      </c>
      <c r="B17" s="14"/>
    </row>
    <row r="18" ht="60.0" customHeight="1">
      <c r="A18" s="15" t="s">
        <v>1936</v>
      </c>
      <c r="B18" s="16" t="s">
        <v>1937</v>
      </c>
    </row>
    <row r="19" ht="60.0" customHeight="1">
      <c r="A19" s="17" t="s">
        <v>1938</v>
      </c>
      <c r="B19" s="18" t="s">
        <v>1939</v>
      </c>
    </row>
    <row r="20" ht="45.0" customHeight="1">
      <c r="A20" s="15" t="s">
        <v>1941</v>
      </c>
      <c r="B20" s="16" t="s">
        <v>1942</v>
      </c>
    </row>
    <row r="21" ht="45.0" customHeight="1">
      <c r="A21" s="17" t="s">
        <v>1944</v>
      </c>
      <c r="B21" s="18" t="s">
        <v>1945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1949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1955</v>
      </c>
    </row>
    <row r="28" ht="18.0" customHeight="1">
      <c r="A28" s="15" t="s">
        <v>471</v>
      </c>
      <c r="B28" s="16" t="s">
        <v>1956</v>
      </c>
    </row>
    <row r="29" ht="18.0" customHeight="1">
      <c r="A29" s="17" t="s">
        <v>473</v>
      </c>
      <c r="B29" s="18" t="s">
        <v>1958</v>
      </c>
    </row>
    <row r="30" ht="18.0" customHeight="1">
      <c r="A30" s="15" t="s">
        <v>475</v>
      </c>
      <c r="B30" s="16" t="s">
        <v>1961</v>
      </c>
    </row>
    <row r="31" ht="18.0" customHeight="1">
      <c r="A31" s="17" t="s">
        <v>477</v>
      </c>
      <c r="B31" s="18" t="s">
        <v>1964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1972</v>
      </c>
    </row>
    <row r="36" ht="18.0" customHeight="1">
      <c r="A36" s="15" t="s">
        <v>489</v>
      </c>
      <c r="B36" s="16" t="s">
        <v>1974</v>
      </c>
    </row>
    <row r="37" ht="18.0" customHeight="1">
      <c r="A37" s="17" t="s">
        <v>491</v>
      </c>
      <c r="B37" s="18" t="s">
        <v>492</v>
      </c>
    </row>
    <row r="38" ht="18.0" customHeight="1">
      <c r="A38" s="15" t="s">
        <v>493</v>
      </c>
      <c r="B38" s="16" t="s">
        <v>1976</v>
      </c>
    </row>
    <row r="39" ht="18.0" customHeight="1">
      <c r="A39" s="17" t="s">
        <v>498</v>
      </c>
      <c r="B39" s="18" t="s">
        <v>1978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1946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1947</v>
      </c>
    </row>
    <row r="5" ht="18.0" customHeight="1">
      <c r="A5" s="17" t="s">
        <v>413</v>
      </c>
      <c r="B5" s="18" t="s">
        <v>780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1951</v>
      </c>
    </row>
    <row r="11" ht="18.0" customHeight="1">
      <c r="A11" s="17" t="s">
        <v>428</v>
      </c>
      <c r="B11" s="18" t="s">
        <v>1952</v>
      </c>
    </row>
    <row r="12" ht="18.0" customHeight="1">
      <c r="A12" s="15" t="s">
        <v>430</v>
      </c>
      <c r="B12" s="16" t="s">
        <v>1810</v>
      </c>
    </row>
    <row r="13" ht="18.0" customHeight="1">
      <c r="A13" s="17" t="s">
        <v>433</v>
      </c>
      <c r="B13" s="18" t="s">
        <v>1953</v>
      </c>
    </row>
    <row r="14" ht="18.0" customHeight="1">
      <c r="A14" s="15" t="s">
        <v>435</v>
      </c>
      <c r="B14" s="16" t="s">
        <v>1954</v>
      </c>
    </row>
    <row r="15" ht="18.0" customHeight="1">
      <c r="A15" s="17" t="s">
        <v>437</v>
      </c>
      <c r="B15" s="18" t="s">
        <v>1852</v>
      </c>
    </row>
    <row r="17" ht="19.5" customHeight="1">
      <c r="A17" s="13" t="s">
        <v>441</v>
      </c>
      <c r="B17" s="14"/>
    </row>
    <row r="18" ht="60.0" customHeight="1">
      <c r="A18" s="15" t="s">
        <v>1957</v>
      </c>
      <c r="B18" s="16" t="s">
        <v>1959</v>
      </c>
    </row>
    <row r="19" ht="75.0" customHeight="1">
      <c r="A19" s="17" t="s">
        <v>1960</v>
      </c>
      <c r="B19" s="18" t="s">
        <v>1962</v>
      </c>
    </row>
    <row r="20" ht="30.0" customHeight="1">
      <c r="A20" s="15" t="s">
        <v>1963</v>
      </c>
      <c r="B20" s="16" t="s">
        <v>1965</v>
      </c>
    </row>
    <row r="21" ht="45.0" customHeight="1">
      <c r="A21" s="17" t="s">
        <v>1966</v>
      </c>
      <c r="B21" s="18" t="s">
        <v>1967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1968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1969</v>
      </c>
    </row>
    <row r="28" ht="18.0" customHeight="1">
      <c r="A28" s="15" t="s">
        <v>471</v>
      </c>
      <c r="B28" s="16" t="s">
        <v>1970</v>
      </c>
    </row>
    <row r="29" ht="18.0" customHeight="1">
      <c r="A29" s="17" t="s">
        <v>473</v>
      </c>
      <c r="B29" s="18" t="s">
        <v>1971</v>
      </c>
    </row>
    <row r="30" ht="18.0" customHeight="1">
      <c r="A30" s="15" t="s">
        <v>475</v>
      </c>
      <c r="B30" s="16" t="s">
        <v>1973</v>
      </c>
    </row>
    <row r="31" ht="18.0" customHeight="1">
      <c r="A31" s="17" t="s">
        <v>477</v>
      </c>
      <c r="B31" s="18" t="s">
        <v>1975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1977</v>
      </c>
    </row>
    <row r="36" ht="18.0" customHeight="1">
      <c r="A36" s="15" t="s">
        <v>489</v>
      </c>
      <c r="B36" s="16" t="s">
        <v>1979</v>
      </c>
    </row>
    <row r="37" ht="18.0" customHeight="1">
      <c r="A37" s="17" t="s">
        <v>491</v>
      </c>
      <c r="B37" s="18" t="s">
        <v>1980</v>
      </c>
    </row>
    <row r="38" ht="18.0" customHeight="1">
      <c r="A38" s="15" t="s">
        <v>493</v>
      </c>
      <c r="B38" s="16" t="s">
        <v>1981</v>
      </c>
    </row>
    <row r="39" ht="18.0" customHeight="1">
      <c r="A39" s="17" t="s">
        <v>498</v>
      </c>
      <c r="B39" s="18" t="s">
        <v>1982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1983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1984</v>
      </c>
    </row>
    <row r="5" ht="18.0" customHeight="1">
      <c r="A5" s="17" t="s">
        <v>413</v>
      </c>
      <c r="B5" s="18" t="s">
        <v>1985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1986</v>
      </c>
    </row>
    <row r="11" ht="18.0" customHeight="1">
      <c r="A11" s="17" t="s">
        <v>428</v>
      </c>
      <c r="B11" s="18" t="s">
        <v>1987</v>
      </c>
    </row>
    <row r="12" ht="18.0" customHeight="1">
      <c r="A12" s="15" t="s">
        <v>430</v>
      </c>
      <c r="B12" s="16" t="s">
        <v>1837</v>
      </c>
    </row>
    <row r="13" ht="18.0" customHeight="1">
      <c r="A13" s="17" t="s">
        <v>433</v>
      </c>
      <c r="B13" s="18" t="s">
        <v>1751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45.0" customHeight="1">
      <c r="A18" s="15" t="s">
        <v>1321</v>
      </c>
      <c r="B18" s="16" t="s">
        <v>1988</v>
      </c>
    </row>
    <row r="19" ht="60.0" customHeight="1">
      <c r="A19" s="17" t="s">
        <v>1324</v>
      </c>
      <c r="B19" s="18" t="s">
        <v>1989</v>
      </c>
    </row>
    <row r="20" ht="60.0" customHeight="1">
      <c r="A20" s="15" t="s">
        <v>1990</v>
      </c>
      <c r="B20" s="16" t="s">
        <v>1991</v>
      </c>
    </row>
    <row r="21" ht="45.0" customHeight="1">
      <c r="A21" s="17" t="s">
        <v>1992</v>
      </c>
      <c r="B21" s="18" t="s">
        <v>1993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1994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1995</v>
      </c>
    </row>
    <row r="28" ht="18.0" customHeight="1">
      <c r="A28" s="15" t="s">
        <v>471</v>
      </c>
      <c r="B28" s="16" t="s">
        <v>1996</v>
      </c>
    </row>
    <row r="29" ht="18.0" customHeight="1">
      <c r="A29" s="17" t="s">
        <v>473</v>
      </c>
      <c r="B29" s="18" t="s">
        <v>1997</v>
      </c>
    </row>
    <row r="30" ht="18.0" customHeight="1">
      <c r="A30" s="15" t="s">
        <v>475</v>
      </c>
      <c r="B30" s="16" t="s">
        <v>1998</v>
      </c>
    </row>
    <row r="31" ht="18.0" customHeight="1">
      <c r="A31" s="17" t="s">
        <v>477</v>
      </c>
      <c r="B31" s="18" t="s">
        <v>1386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1999</v>
      </c>
    </row>
    <row r="36" ht="18.0" customHeight="1">
      <c r="A36" s="15" t="s">
        <v>489</v>
      </c>
      <c r="B36" s="16" t="s">
        <v>2000</v>
      </c>
    </row>
    <row r="37" ht="18.0" customHeight="1">
      <c r="A37" s="17" t="s">
        <v>491</v>
      </c>
      <c r="B37" s="18" t="s">
        <v>2001</v>
      </c>
    </row>
    <row r="38" ht="18.0" customHeight="1">
      <c r="A38" s="15" t="s">
        <v>493</v>
      </c>
      <c r="B38" s="16" t="s">
        <v>1135</v>
      </c>
    </row>
    <row r="39" ht="18.0" customHeight="1">
      <c r="A39" s="17" t="s">
        <v>498</v>
      </c>
      <c r="B39" s="18" t="s">
        <v>2002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2003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2004</v>
      </c>
    </row>
    <row r="5" ht="18.0" customHeight="1">
      <c r="A5" s="17" t="s">
        <v>413</v>
      </c>
      <c r="B5" s="18" t="s">
        <v>2005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2006</v>
      </c>
    </row>
    <row r="11" ht="18.0" customHeight="1">
      <c r="A11" s="17" t="s">
        <v>428</v>
      </c>
      <c r="B11" s="18" t="s">
        <v>2007</v>
      </c>
    </row>
    <row r="12" ht="18.0" customHeight="1">
      <c r="A12" s="15" t="s">
        <v>430</v>
      </c>
      <c r="B12" s="16" t="s">
        <v>2008</v>
      </c>
    </row>
    <row r="13" ht="18.0" customHeight="1">
      <c r="A13" s="17" t="s">
        <v>433</v>
      </c>
      <c r="B13" s="18" t="s">
        <v>2009</v>
      </c>
    </row>
    <row r="14" ht="18.0" customHeight="1">
      <c r="A14" s="15" t="s">
        <v>435</v>
      </c>
      <c r="B14" s="16" t="s">
        <v>1131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45.0" customHeight="1">
      <c r="A18" s="15" t="s">
        <v>1373</v>
      </c>
      <c r="B18" s="16" t="s">
        <v>2010</v>
      </c>
    </row>
    <row r="19" ht="60.0" customHeight="1">
      <c r="A19" s="17" t="s">
        <v>1375</v>
      </c>
      <c r="B19" s="18" t="s">
        <v>2011</v>
      </c>
    </row>
    <row r="20" ht="30.0" customHeight="1">
      <c r="A20" s="15" t="s">
        <v>2013</v>
      </c>
      <c r="B20" s="16" t="s">
        <v>2014</v>
      </c>
    </row>
    <row r="21" ht="60.0" customHeight="1">
      <c r="A21" s="17" t="s">
        <v>2015</v>
      </c>
      <c r="B21" s="18" t="s">
        <v>2016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2017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2019</v>
      </c>
    </row>
    <row r="28" ht="18.0" customHeight="1">
      <c r="A28" s="15" t="s">
        <v>471</v>
      </c>
      <c r="B28" s="16" t="s">
        <v>2021</v>
      </c>
    </row>
    <row r="29" ht="18.0" customHeight="1">
      <c r="A29" s="17" t="s">
        <v>473</v>
      </c>
      <c r="B29" s="18" t="s">
        <v>2022</v>
      </c>
    </row>
    <row r="30" ht="18.0" customHeight="1">
      <c r="A30" s="15" t="s">
        <v>475</v>
      </c>
      <c r="B30" s="16" t="s">
        <v>2023</v>
      </c>
    </row>
    <row r="31" ht="18.0" customHeight="1">
      <c r="A31" s="17" t="s">
        <v>477</v>
      </c>
      <c r="B31" s="18" t="s">
        <v>2024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2027</v>
      </c>
    </row>
    <row r="36" ht="18.0" customHeight="1">
      <c r="A36" s="15" t="s">
        <v>489</v>
      </c>
      <c r="B36" s="16" t="s">
        <v>2028</v>
      </c>
    </row>
    <row r="37" ht="18.0" customHeight="1">
      <c r="A37" s="17" t="s">
        <v>491</v>
      </c>
      <c r="B37" s="18" t="s">
        <v>2030</v>
      </c>
    </row>
    <row r="38" ht="18.0" customHeight="1">
      <c r="A38" s="15" t="s">
        <v>493</v>
      </c>
      <c r="B38" s="16" t="s">
        <v>970</v>
      </c>
    </row>
    <row r="39" ht="18.0" customHeight="1">
      <c r="A39" s="17" t="s">
        <v>498</v>
      </c>
      <c r="B39" s="18" t="s">
        <v>579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2012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2018</v>
      </c>
    </row>
    <row r="5" ht="18.0" customHeight="1">
      <c r="A5" s="17" t="s">
        <v>413</v>
      </c>
      <c r="B5" s="18" t="s">
        <v>2020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1204</v>
      </c>
    </row>
    <row r="11" ht="18.0" customHeight="1">
      <c r="A11" s="17" t="s">
        <v>428</v>
      </c>
      <c r="B11" s="18" t="s">
        <v>2025</v>
      </c>
    </row>
    <row r="12" ht="18.0" customHeight="1">
      <c r="A12" s="15" t="s">
        <v>430</v>
      </c>
      <c r="B12" s="16" t="s">
        <v>2026</v>
      </c>
    </row>
    <row r="13" ht="18.0" customHeight="1">
      <c r="A13" s="17" t="s">
        <v>433</v>
      </c>
      <c r="B13" s="18" t="s">
        <v>2029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45.0" customHeight="1">
      <c r="A18" s="15" t="s">
        <v>2032</v>
      </c>
      <c r="B18" s="16" t="s">
        <v>2033</v>
      </c>
    </row>
    <row r="19" ht="45.0" customHeight="1">
      <c r="A19" s="17" t="s">
        <v>2034</v>
      </c>
      <c r="B19" s="18" t="s">
        <v>2035</v>
      </c>
    </row>
    <row r="20" ht="45.0" customHeight="1">
      <c r="A20" s="15" t="s">
        <v>2036</v>
      </c>
      <c r="B20" s="16" t="s">
        <v>2037</v>
      </c>
    </row>
    <row r="21" ht="60.0" customHeight="1">
      <c r="A21" s="17" t="s">
        <v>2038</v>
      </c>
      <c r="B21" s="18" t="s">
        <v>2039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2040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2042</v>
      </c>
    </row>
    <row r="28" ht="18.0" customHeight="1">
      <c r="A28" s="15" t="s">
        <v>471</v>
      </c>
      <c r="B28" s="16" t="s">
        <v>2043</v>
      </c>
    </row>
    <row r="29" ht="18.0" customHeight="1">
      <c r="A29" s="17" t="s">
        <v>473</v>
      </c>
      <c r="B29" s="18" t="s">
        <v>2044</v>
      </c>
    </row>
    <row r="30" ht="18.0" customHeight="1">
      <c r="A30" s="15" t="s">
        <v>475</v>
      </c>
      <c r="B30" s="16" t="s">
        <v>2045</v>
      </c>
    </row>
    <row r="31" ht="18.0" customHeight="1">
      <c r="A31" s="17" t="s">
        <v>477</v>
      </c>
      <c r="B31" s="18" t="s">
        <v>2046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2049</v>
      </c>
    </row>
    <row r="36" ht="18.0" customHeight="1">
      <c r="A36" s="15" t="s">
        <v>489</v>
      </c>
      <c r="B36" s="16" t="s">
        <v>2050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2051</v>
      </c>
    </row>
    <row r="39" ht="18.0" customHeight="1">
      <c r="A39" s="17" t="s">
        <v>498</v>
      </c>
      <c r="B39" s="18" t="s">
        <v>2053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2041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2047</v>
      </c>
    </row>
    <row r="5" ht="18.0" customHeight="1">
      <c r="A5" s="17" t="s">
        <v>413</v>
      </c>
      <c r="B5" s="18" t="s">
        <v>1568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2052</v>
      </c>
    </row>
    <row r="11" ht="18.0" customHeight="1">
      <c r="A11" s="17" t="s">
        <v>428</v>
      </c>
      <c r="B11" s="18" t="s">
        <v>1911</v>
      </c>
    </row>
    <row r="12" ht="18.0" customHeight="1">
      <c r="A12" s="15" t="s">
        <v>430</v>
      </c>
      <c r="B12" s="16" t="s">
        <v>2054</v>
      </c>
    </row>
    <row r="13" ht="18.0" customHeight="1">
      <c r="A13" s="17" t="s">
        <v>433</v>
      </c>
      <c r="B13" s="18" t="s">
        <v>2056</v>
      </c>
    </row>
    <row r="14" ht="18.0" customHeight="1">
      <c r="A14" s="15" t="s">
        <v>435</v>
      </c>
      <c r="B14" s="16" t="s">
        <v>1131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60.0" customHeight="1">
      <c r="A18" s="15" t="s">
        <v>1574</v>
      </c>
      <c r="B18" s="16" t="s">
        <v>2058</v>
      </c>
    </row>
    <row r="19" ht="75.0" customHeight="1">
      <c r="A19" s="17" t="s">
        <v>1576</v>
      </c>
      <c r="B19" s="18" t="s">
        <v>2059</v>
      </c>
    </row>
    <row r="20" ht="45.0" customHeight="1">
      <c r="A20" s="15" t="s">
        <v>2060</v>
      </c>
      <c r="B20" s="16" t="s">
        <v>2061</v>
      </c>
    </row>
    <row r="21" ht="60.0" customHeight="1">
      <c r="A21" s="17" t="s">
        <v>2062</v>
      </c>
      <c r="B21" s="18" t="s">
        <v>2063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2065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2068</v>
      </c>
    </row>
    <row r="28" ht="18.0" customHeight="1">
      <c r="A28" s="15" t="s">
        <v>471</v>
      </c>
      <c r="B28" s="16" t="s">
        <v>2070</v>
      </c>
    </row>
    <row r="29" ht="18.0" customHeight="1">
      <c r="A29" s="17" t="s">
        <v>473</v>
      </c>
      <c r="B29" s="18" t="s">
        <v>2072</v>
      </c>
    </row>
    <row r="30" ht="18.0" customHeight="1">
      <c r="A30" s="15" t="s">
        <v>475</v>
      </c>
      <c r="B30" s="16" t="s">
        <v>2073</v>
      </c>
    </row>
    <row r="31" ht="18.0" customHeight="1">
      <c r="A31" s="17" t="s">
        <v>477</v>
      </c>
      <c r="B31" s="18" t="s">
        <v>2074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2081</v>
      </c>
    </row>
    <row r="36" ht="18.0" customHeight="1">
      <c r="A36" s="15" t="s">
        <v>489</v>
      </c>
      <c r="B36" s="16" t="s">
        <v>2084</v>
      </c>
    </row>
    <row r="37" ht="18.0" customHeight="1">
      <c r="A37" s="17" t="s">
        <v>491</v>
      </c>
      <c r="B37" s="18" t="s">
        <v>2085</v>
      </c>
    </row>
    <row r="38" ht="18.0" customHeight="1">
      <c r="A38" s="15" t="s">
        <v>493</v>
      </c>
      <c r="B38" s="16" t="s">
        <v>1252</v>
      </c>
    </row>
    <row r="39" ht="18.0" customHeight="1">
      <c r="A39" s="17" t="s">
        <v>498</v>
      </c>
      <c r="B39" s="18" t="s">
        <v>2086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2048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2055</v>
      </c>
    </row>
    <row r="5" ht="18.0" customHeight="1">
      <c r="A5" s="17" t="s">
        <v>413</v>
      </c>
      <c r="B5" s="18" t="s">
        <v>2057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2064</v>
      </c>
    </row>
    <row r="11" ht="18.0" customHeight="1">
      <c r="A11" s="17" t="s">
        <v>428</v>
      </c>
      <c r="B11" s="18" t="s">
        <v>2007</v>
      </c>
    </row>
    <row r="12" ht="18.0" customHeight="1">
      <c r="A12" s="15" t="s">
        <v>430</v>
      </c>
      <c r="B12" s="16" t="s">
        <v>2066</v>
      </c>
    </row>
    <row r="13" ht="18.0" customHeight="1">
      <c r="A13" s="17" t="s">
        <v>433</v>
      </c>
      <c r="B13" s="18" t="s">
        <v>2067</v>
      </c>
    </row>
    <row r="14" ht="18.0" customHeight="1">
      <c r="A14" s="15" t="s">
        <v>435</v>
      </c>
      <c r="B14" s="16" t="s">
        <v>2069</v>
      </c>
    </row>
    <row r="15" ht="18.0" customHeight="1">
      <c r="A15" s="17" t="s">
        <v>437</v>
      </c>
      <c r="B15" s="18" t="s">
        <v>2071</v>
      </c>
    </row>
    <row r="17" ht="19.5" customHeight="1">
      <c r="A17" s="13" t="s">
        <v>441</v>
      </c>
      <c r="B17" s="14"/>
    </row>
    <row r="18" ht="60.0" customHeight="1">
      <c r="A18" s="15" t="s">
        <v>2075</v>
      </c>
      <c r="B18" s="16" t="s">
        <v>2076</v>
      </c>
    </row>
    <row r="19" ht="60.0" customHeight="1">
      <c r="A19" s="17" t="s">
        <v>2077</v>
      </c>
      <c r="B19" s="18" t="s">
        <v>2078</v>
      </c>
    </row>
    <row r="20" ht="45.0" customHeight="1">
      <c r="A20" s="15" t="s">
        <v>2079</v>
      </c>
      <c r="B20" s="16" t="s">
        <v>2080</v>
      </c>
    </row>
    <row r="21" ht="45.0" customHeight="1">
      <c r="A21" s="17" t="s">
        <v>2082</v>
      </c>
      <c r="B21" s="18" t="s">
        <v>2083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2087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2088</v>
      </c>
    </row>
    <row r="28" ht="18.0" customHeight="1">
      <c r="A28" s="15" t="s">
        <v>471</v>
      </c>
      <c r="B28" s="16" t="s">
        <v>2089</v>
      </c>
    </row>
    <row r="29" ht="18.0" customHeight="1">
      <c r="A29" s="17" t="s">
        <v>473</v>
      </c>
      <c r="B29" s="18" t="s">
        <v>2090</v>
      </c>
    </row>
    <row r="30" ht="18.0" customHeight="1">
      <c r="A30" s="15" t="s">
        <v>475</v>
      </c>
      <c r="B30" s="16" t="s">
        <v>2091</v>
      </c>
    </row>
    <row r="31" ht="18.0" customHeight="1">
      <c r="A31" s="17" t="s">
        <v>477</v>
      </c>
      <c r="B31" s="18" t="s">
        <v>2092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2093</v>
      </c>
    </row>
    <row r="36" ht="18.0" customHeight="1">
      <c r="A36" s="15" t="s">
        <v>489</v>
      </c>
      <c r="B36" s="16" t="s">
        <v>2094</v>
      </c>
    </row>
    <row r="37" ht="18.0" customHeight="1">
      <c r="A37" s="17" t="s">
        <v>491</v>
      </c>
      <c r="B37" s="18" t="s">
        <v>2095</v>
      </c>
    </row>
    <row r="38" ht="18.0" customHeight="1">
      <c r="A38" s="15" t="s">
        <v>493</v>
      </c>
      <c r="B38" s="16" t="s">
        <v>1199</v>
      </c>
    </row>
    <row r="39" ht="18.0" customHeight="1">
      <c r="A39" s="17" t="s">
        <v>498</v>
      </c>
      <c r="B39" s="18" t="s">
        <v>611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2096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2097</v>
      </c>
    </row>
    <row r="5" ht="18.0" customHeight="1">
      <c r="A5" s="17" t="s">
        <v>413</v>
      </c>
      <c r="B5" s="18" t="s">
        <v>2099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2101</v>
      </c>
    </row>
    <row r="11" ht="18.0" customHeight="1">
      <c r="A11" s="17" t="s">
        <v>428</v>
      </c>
      <c r="B11" s="18" t="s">
        <v>2102</v>
      </c>
    </row>
    <row r="12" ht="18.0" customHeight="1">
      <c r="A12" s="15" t="s">
        <v>430</v>
      </c>
      <c r="B12" s="16" t="s">
        <v>2104</v>
      </c>
    </row>
    <row r="13" ht="18.0" customHeight="1">
      <c r="A13" s="17" t="s">
        <v>433</v>
      </c>
      <c r="B13" s="18" t="s">
        <v>2105</v>
      </c>
    </row>
    <row r="14" ht="18.0" customHeight="1">
      <c r="A14" s="15" t="s">
        <v>435</v>
      </c>
      <c r="B14" s="16" t="s">
        <v>1022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45.0" customHeight="1">
      <c r="A18" s="15" t="s">
        <v>2108</v>
      </c>
      <c r="B18" s="16" t="s">
        <v>2109</v>
      </c>
    </row>
    <row r="19" ht="60.0" customHeight="1">
      <c r="A19" s="17" t="s">
        <v>2110</v>
      </c>
      <c r="B19" s="18" t="s">
        <v>2111</v>
      </c>
    </row>
    <row r="20" ht="45.0" customHeight="1">
      <c r="A20" s="15" t="s">
        <v>2113</v>
      </c>
      <c r="B20" s="16" t="s">
        <v>2114</v>
      </c>
    </row>
    <row r="21" ht="45.0" customHeight="1">
      <c r="A21" s="17" t="s">
        <v>2115</v>
      </c>
      <c r="B21" s="18" t="s">
        <v>2117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2124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2129</v>
      </c>
    </row>
    <row r="28" ht="18.0" customHeight="1">
      <c r="A28" s="15" t="s">
        <v>471</v>
      </c>
      <c r="B28" s="16" t="s">
        <v>2131</v>
      </c>
    </row>
    <row r="29" ht="18.0" customHeight="1">
      <c r="A29" s="17" t="s">
        <v>473</v>
      </c>
      <c r="B29" s="18" t="s">
        <v>2133</v>
      </c>
    </row>
    <row r="30" ht="18.0" customHeight="1">
      <c r="A30" s="15" t="s">
        <v>475</v>
      </c>
      <c r="B30" s="16" t="s">
        <v>2136</v>
      </c>
    </row>
    <row r="31" ht="18.0" customHeight="1">
      <c r="A31" s="17" t="s">
        <v>477</v>
      </c>
      <c r="B31" s="18" t="s">
        <v>2137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2146</v>
      </c>
    </row>
    <row r="36" ht="18.0" customHeight="1">
      <c r="A36" s="15" t="s">
        <v>489</v>
      </c>
      <c r="B36" s="16" t="s">
        <v>2160</v>
      </c>
    </row>
    <row r="37" ht="18.0" customHeight="1">
      <c r="A37" s="17" t="s">
        <v>491</v>
      </c>
      <c r="B37" s="18" t="s">
        <v>2162</v>
      </c>
    </row>
    <row r="38" ht="18.0" customHeight="1">
      <c r="A38" s="15" t="s">
        <v>493</v>
      </c>
      <c r="B38" s="16" t="s">
        <v>2164</v>
      </c>
    </row>
    <row r="39" ht="18.0" customHeight="1">
      <c r="A39" s="17" t="s">
        <v>498</v>
      </c>
      <c r="B39" s="18" t="s">
        <v>926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2098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2100</v>
      </c>
    </row>
    <row r="5" ht="18.0" customHeight="1">
      <c r="A5" s="17" t="s">
        <v>413</v>
      </c>
      <c r="B5" s="18" t="s">
        <v>2103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2107</v>
      </c>
    </row>
    <row r="11" ht="18.0" customHeight="1">
      <c r="A11" s="17" t="s">
        <v>428</v>
      </c>
      <c r="B11" s="18" t="s">
        <v>2007</v>
      </c>
    </row>
    <row r="12" ht="18.0" customHeight="1">
      <c r="A12" s="15" t="s">
        <v>430</v>
      </c>
      <c r="B12" s="16" t="s">
        <v>2008</v>
      </c>
    </row>
    <row r="13" ht="18.0" customHeight="1">
      <c r="A13" s="17" t="s">
        <v>433</v>
      </c>
      <c r="B13" s="18" t="s">
        <v>2009</v>
      </c>
    </row>
    <row r="14" ht="18.0" customHeight="1">
      <c r="A14" s="15" t="s">
        <v>435</v>
      </c>
      <c r="B14" s="16" t="s">
        <v>2112</v>
      </c>
    </row>
    <row r="15" ht="18.0" customHeight="1">
      <c r="A15" s="17" t="s">
        <v>437</v>
      </c>
      <c r="B15" s="18" t="s">
        <v>1754</v>
      </c>
    </row>
    <row r="17" ht="19.5" customHeight="1">
      <c r="A17" s="13" t="s">
        <v>441</v>
      </c>
      <c r="B17" s="14"/>
    </row>
    <row r="18" ht="60.0" customHeight="1">
      <c r="A18" s="15" t="s">
        <v>2118</v>
      </c>
      <c r="B18" s="16" t="s">
        <v>2119</v>
      </c>
    </row>
    <row r="19" ht="75.0" customHeight="1">
      <c r="A19" s="17" t="s">
        <v>2121</v>
      </c>
      <c r="B19" s="18" t="s">
        <v>2122</v>
      </c>
    </row>
    <row r="20" ht="45.0" customHeight="1">
      <c r="A20" s="15" t="s">
        <v>2123</v>
      </c>
      <c r="B20" s="16" t="s">
        <v>2125</v>
      </c>
    </row>
    <row r="21" ht="45.0" customHeight="1">
      <c r="A21" s="17" t="s">
        <v>2126</v>
      </c>
      <c r="B21" s="18" t="s">
        <v>2127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2134</v>
      </c>
    </row>
    <row r="25" ht="18.0" customHeight="1">
      <c r="A25" s="17" t="s">
        <v>35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2139</v>
      </c>
    </row>
    <row r="28" ht="18.0" customHeight="1">
      <c r="A28" s="15" t="s">
        <v>471</v>
      </c>
      <c r="B28" s="16" t="s">
        <v>2140</v>
      </c>
    </row>
    <row r="29" ht="18.0" customHeight="1">
      <c r="A29" s="17" t="s">
        <v>473</v>
      </c>
      <c r="B29" s="18" t="s">
        <v>2142</v>
      </c>
    </row>
    <row r="30" ht="18.0" customHeight="1">
      <c r="A30" s="15" t="s">
        <v>475</v>
      </c>
      <c r="B30" s="16" t="s">
        <v>2144</v>
      </c>
    </row>
    <row r="31" ht="18.0" customHeight="1">
      <c r="A31" s="17" t="s">
        <v>477</v>
      </c>
      <c r="B31" s="18" t="s">
        <v>2148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2153</v>
      </c>
    </row>
    <row r="36" ht="18.0" customHeight="1">
      <c r="A36" s="15" t="s">
        <v>489</v>
      </c>
      <c r="B36" s="16" t="s">
        <v>2154</v>
      </c>
    </row>
    <row r="37" ht="18.0" customHeight="1">
      <c r="A37" s="17" t="s">
        <v>491</v>
      </c>
      <c r="B37" s="18" t="s">
        <v>1106</v>
      </c>
    </row>
    <row r="38" ht="18.0" customHeight="1">
      <c r="A38" s="15" t="s">
        <v>493</v>
      </c>
      <c r="B38" s="16" t="s">
        <v>970</v>
      </c>
    </row>
    <row r="39" ht="18.0" customHeight="1">
      <c r="A39" s="17" t="s">
        <v>498</v>
      </c>
      <c r="B39" s="18" t="s">
        <v>2159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2106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2116</v>
      </c>
    </row>
    <row r="5" ht="18.0" customHeight="1">
      <c r="A5" s="17" t="s">
        <v>413</v>
      </c>
      <c r="B5" s="18" t="s">
        <v>2120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2128</v>
      </c>
    </row>
    <row r="11" ht="18.0" customHeight="1">
      <c r="A11" s="17" t="s">
        <v>428</v>
      </c>
      <c r="B11" s="18" t="s">
        <v>2130</v>
      </c>
    </row>
    <row r="12" ht="18.0" customHeight="1">
      <c r="A12" s="15" t="s">
        <v>430</v>
      </c>
      <c r="B12" s="16" t="s">
        <v>2132</v>
      </c>
    </row>
    <row r="13" ht="18.0" customHeight="1">
      <c r="A13" s="17" t="s">
        <v>433</v>
      </c>
      <c r="B13" s="18" t="s">
        <v>2135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45.0" customHeight="1">
      <c r="A18" s="15" t="s">
        <v>2141</v>
      </c>
      <c r="B18" s="16" t="s">
        <v>2143</v>
      </c>
    </row>
    <row r="19" ht="60.0" customHeight="1">
      <c r="A19" s="17" t="s">
        <v>1990</v>
      </c>
      <c r="B19" s="18" t="s">
        <v>2145</v>
      </c>
    </row>
    <row r="20" ht="45.0" customHeight="1">
      <c r="A20" s="15" t="s">
        <v>2147</v>
      </c>
      <c r="B20" s="16" t="s">
        <v>2149</v>
      </c>
    </row>
    <row r="21" ht="45.0" customHeight="1">
      <c r="A21" s="17" t="s">
        <v>2150</v>
      </c>
      <c r="B21" s="18" t="s">
        <v>2151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2152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2155</v>
      </c>
    </row>
    <row r="28" ht="18.0" customHeight="1">
      <c r="A28" s="15" t="s">
        <v>471</v>
      </c>
      <c r="B28" s="16" t="s">
        <v>2156</v>
      </c>
    </row>
    <row r="29" ht="18.0" customHeight="1">
      <c r="A29" s="17" t="s">
        <v>473</v>
      </c>
      <c r="B29" s="18" t="s">
        <v>2157</v>
      </c>
    </row>
    <row r="30" ht="18.0" customHeight="1">
      <c r="A30" s="15" t="s">
        <v>475</v>
      </c>
      <c r="B30" s="16" t="s">
        <v>2158</v>
      </c>
    </row>
    <row r="31" ht="18.0" customHeight="1">
      <c r="A31" s="17" t="s">
        <v>477</v>
      </c>
      <c r="B31" s="18" t="s">
        <v>1483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2161</v>
      </c>
    </row>
    <row r="36" ht="18.0" customHeight="1">
      <c r="A36" s="15" t="s">
        <v>489</v>
      </c>
      <c r="B36" s="16" t="s">
        <v>2163</v>
      </c>
    </row>
    <row r="37" ht="18.0" customHeight="1">
      <c r="A37" s="17" t="s">
        <v>491</v>
      </c>
      <c r="B37" s="18" t="s">
        <v>1106</v>
      </c>
    </row>
    <row r="38" ht="18.0" customHeight="1">
      <c r="A38" s="15" t="s">
        <v>493</v>
      </c>
      <c r="B38" s="16" t="s">
        <v>2165</v>
      </c>
    </row>
    <row r="39" ht="18.0" customHeight="1">
      <c r="A39" s="17" t="s">
        <v>498</v>
      </c>
      <c r="B39" s="18" t="s">
        <v>2167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2138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2166</v>
      </c>
    </row>
    <row r="5" ht="18.0" customHeight="1">
      <c r="A5" s="17" t="s">
        <v>413</v>
      </c>
      <c r="B5" s="18" t="s">
        <v>2168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2169</v>
      </c>
    </row>
    <row r="11" ht="18.0" customHeight="1">
      <c r="A11" s="17" t="s">
        <v>428</v>
      </c>
      <c r="B11" s="18" t="s">
        <v>2170</v>
      </c>
    </row>
    <row r="12" ht="18.0" customHeight="1">
      <c r="A12" s="15" t="s">
        <v>430</v>
      </c>
      <c r="B12" s="16" t="s">
        <v>2171</v>
      </c>
    </row>
    <row r="13" ht="18.0" customHeight="1">
      <c r="A13" s="17" t="s">
        <v>433</v>
      </c>
      <c r="B13" s="18" t="s">
        <v>1913</v>
      </c>
    </row>
    <row r="14" ht="18.0" customHeight="1">
      <c r="A14" s="15" t="s">
        <v>435</v>
      </c>
      <c r="B14" s="16" t="s">
        <v>1406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2172</v>
      </c>
      <c r="B18" s="16" t="s">
        <v>2173</v>
      </c>
    </row>
    <row r="19" ht="60.0" customHeight="1">
      <c r="A19" s="17" t="s">
        <v>2174</v>
      </c>
      <c r="B19" s="18" t="s">
        <v>2175</v>
      </c>
    </row>
    <row r="20" ht="45.0" customHeight="1">
      <c r="A20" s="15" t="s">
        <v>2176</v>
      </c>
      <c r="B20" s="16" t="s">
        <v>2177</v>
      </c>
    </row>
    <row r="21" ht="45.0" customHeight="1">
      <c r="A21" s="17" t="s">
        <v>2178</v>
      </c>
      <c r="B21" s="18" t="s">
        <v>2179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2180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2181</v>
      </c>
    </row>
    <row r="28" ht="18.0" customHeight="1">
      <c r="A28" s="15" t="s">
        <v>471</v>
      </c>
      <c r="B28" s="16" t="s">
        <v>2182</v>
      </c>
    </row>
    <row r="29" ht="18.0" customHeight="1">
      <c r="A29" s="17" t="s">
        <v>473</v>
      </c>
      <c r="B29" s="18" t="s">
        <v>2183</v>
      </c>
    </row>
    <row r="30" ht="18.0" customHeight="1">
      <c r="A30" s="15" t="s">
        <v>475</v>
      </c>
      <c r="B30" s="16" t="s">
        <v>2184</v>
      </c>
    </row>
    <row r="31" ht="18.0" customHeight="1">
      <c r="A31" s="17" t="s">
        <v>477</v>
      </c>
      <c r="B31" s="18" t="s">
        <v>2185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2186</v>
      </c>
    </row>
    <row r="36" ht="18.0" customHeight="1">
      <c r="A36" s="15" t="s">
        <v>489</v>
      </c>
      <c r="B36" s="16" t="s">
        <v>2187</v>
      </c>
    </row>
    <row r="37" ht="18.0" customHeight="1">
      <c r="A37" s="17" t="s">
        <v>491</v>
      </c>
      <c r="B37" s="18" t="s">
        <v>763</v>
      </c>
    </row>
    <row r="38" ht="18.0" customHeight="1">
      <c r="A38" s="15" t="s">
        <v>493</v>
      </c>
      <c r="B38" s="16" t="s">
        <v>2188</v>
      </c>
    </row>
    <row r="39" ht="18.0" customHeight="1">
      <c r="A39" s="17" t="s">
        <v>498</v>
      </c>
      <c r="B39" s="18" t="s">
        <v>2189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2190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2192</v>
      </c>
    </row>
    <row r="5" ht="18.0" customHeight="1">
      <c r="A5" s="17" t="s">
        <v>413</v>
      </c>
      <c r="B5" s="18" t="s">
        <v>2193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2196</v>
      </c>
    </row>
    <row r="11" ht="18.0" customHeight="1">
      <c r="A11" s="17" t="s">
        <v>428</v>
      </c>
      <c r="B11" s="18" t="s">
        <v>2197</v>
      </c>
    </row>
    <row r="12" ht="18.0" customHeight="1">
      <c r="A12" s="15" t="s">
        <v>430</v>
      </c>
      <c r="B12" s="16" t="s">
        <v>2199</v>
      </c>
    </row>
    <row r="13" ht="18.0" customHeight="1">
      <c r="A13" s="17" t="s">
        <v>433</v>
      </c>
      <c r="B13" s="18" t="s">
        <v>1811</v>
      </c>
    </row>
    <row r="14" ht="18.0" customHeight="1">
      <c r="A14" s="15" t="s">
        <v>435</v>
      </c>
      <c r="B14" s="16" t="s">
        <v>2202</v>
      </c>
    </row>
    <row r="15" ht="18.0" customHeight="1">
      <c r="A15" s="17" t="s">
        <v>437</v>
      </c>
      <c r="B15" s="18" t="s">
        <v>2204</v>
      </c>
    </row>
    <row r="17" ht="19.5" customHeight="1">
      <c r="A17" s="13" t="s">
        <v>441</v>
      </c>
      <c r="B17" s="14"/>
    </row>
    <row r="18" ht="90.0" customHeight="1">
      <c r="A18" s="15" t="s">
        <v>2205</v>
      </c>
      <c r="B18" s="16" t="s">
        <v>2207</v>
      </c>
    </row>
    <row r="19" ht="45.0" customHeight="1">
      <c r="A19" s="17" t="s">
        <v>2209</v>
      </c>
      <c r="B19" s="18" t="s">
        <v>2211</v>
      </c>
    </row>
    <row r="20" ht="45.0" customHeight="1">
      <c r="A20" s="15" t="s">
        <v>2213</v>
      </c>
      <c r="B20" s="16" t="s">
        <v>2216</v>
      </c>
    </row>
    <row r="21" ht="45.0" customHeight="1">
      <c r="A21" s="17" t="s">
        <v>2218</v>
      </c>
      <c r="B21" s="18" t="s">
        <v>2220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2222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2225</v>
      </c>
    </row>
    <row r="28" ht="18.0" customHeight="1">
      <c r="A28" s="15" t="s">
        <v>471</v>
      </c>
      <c r="B28" s="16" t="s">
        <v>2227</v>
      </c>
    </row>
    <row r="29" ht="18.0" customHeight="1">
      <c r="A29" s="17" t="s">
        <v>473</v>
      </c>
      <c r="B29" s="18" t="s">
        <v>2229</v>
      </c>
    </row>
    <row r="30" ht="18.0" customHeight="1">
      <c r="A30" s="15" t="s">
        <v>475</v>
      </c>
      <c r="B30" s="16" t="s">
        <v>2231</v>
      </c>
    </row>
    <row r="31" ht="18.0" customHeight="1">
      <c r="A31" s="17" t="s">
        <v>477</v>
      </c>
      <c r="B31" s="18" t="s">
        <v>2232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2235</v>
      </c>
    </row>
    <row r="36" ht="18.0" customHeight="1">
      <c r="A36" s="15" t="s">
        <v>489</v>
      </c>
      <c r="B36" s="16" t="s">
        <v>2236</v>
      </c>
    </row>
    <row r="37" ht="18.0" customHeight="1">
      <c r="A37" s="17" t="s">
        <v>491</v>
      </c>
      <c r="B37" s="18" t="s">
        <v>1298</v>
      </c>
    </row>
    <row r="38" ht="18.0" customHeight="1">
      <c r="A38" s="15" t="s">
        <v>493</v>
      </c>
      <c r="B38" s="16" t="s">
        <v>1053</v>
      </c>
    </row>
    <row r="39" ht="18.0" customHeight="1">
      <c r="A39" s="17" t="s">
        <v>498</v>
      </c>
      <c r="B39" s="18" t="s">
        <v>2240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2191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2194</v>
      </c>
    </row>
    <row r="5" ht="18.0" customHeight="1">
      <c r="A5" s="17" t="s">
        <v>413</v>
      </c>
      <c r="B5" s="18" t="s">
        <v>2195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2198</v>
      </c>
    </row>
    <row r="11" ht="18.0" customHeight="1">
      <c r="A11" s="17" t="s">
        <v>428</v>
      </c>
      <c r="B11" s="18" t="s">
        <v>2200</v>
      </c>
    </row>
    <row r="12" ht="18.0" customHeight="1">
      <c r="A12" s="15" t="s">
        <v>430</v>
      </c>
      <c r="B12" s="16" t="s">
        <v>2201</v>
      </c>
    </row>
    <row r="13" ht="18.0" customHeight="1">
      <c r="A13" s="17" t="s">
        <v>433</v>
      </c>
      <c r="B13" s="18" t="s">
        <v>2203</v>
      </c>
    </row>
    <row r="14" ht="18.0" customHeight="1">
      <c r="A14" s="15" t="s">
        <v>435</v>
      </c>
      <c r="B14" s="16" t="s">
        <v>1933</v>
      </c>
    </row>
    <row r="15" ht="18.0" customHeight="1">
      <c r="A15" s="17" t="s">
        <v>437</v>
      </c>
      <c r="B15" s="18" t="s">
        <v>1935</v>
      </c>
    </row>
    <row r="17" ht="19.5" customHeight="1">
      <c r="A17" s="13" t="s">
        <v>441</v>
      </c>
      <c r="B17" s="14"/>
    </row>
    <row r="18" ht="45.0" customHeight="1">
      <c r="A18" s="15" t="s">
        <v>2206</v>
      </c>
      <c r="B18" s="16" t="s">
        <v>2208</v>
      </c>
    </row>
    <row r="19" ht="60.0" customHeight="1">
      <c r="A19" s="17" t="s">
        <v>2210</v>
      </c>
      <c r="B19" s="18" t="s">
        <v>2212</v>
      </c>
    </row>
    <row r="20" ht="30.0" customHeight="1">
      <c r="A20" s="15" t="s">
        <v>2214</v>
      </c>
      <c r="B20" s="16" t="s">
        <v>2215</v>
      </c>
    </row>
    <row r="21" ht="30.0" customHeight="1">
      <c r="A21" s="17" t="s">
        <v>2217</v>
      </c>
      <c r="B21" s="18" t="s">
        <v>2219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2221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2223</v>
      </c>
    </row>
    <row r="28" ht="18.0" customHeight="1">
      <c r="A28" s="15" t="s">
        <v>471</v>
      </c>
      <c r="B28" s="16" t="s">
        <v>2224</v>
      </c>
    </row>
    <row r="29" ht="18.0" customHeight="1">
      <c r="A29" s="17" t="s">
        <v>473</v>
      </c>
      <c r="B29" s="18" t="s">
        <v>2226</v>
      </c>
    </row>
    <row r="30" ht="18.0" customHeight="1">
      <c r="A30" s="15" t="s">
        <v>475</v>
      </c>
      <c r="B30" s="16" t="s">
        <v>2228</v>
      </c>
    </row>
    <row r="31" ht="18.0" customHeight="1">
      <c r="A31" s="17" t="s">
        <v>477</v>
      </c>
      <c r="B31" s="18" t="s">
        <v>2185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2233</v>
      </c>
    </row>
    <row r="36" ht="18.0" customHeight="1">
      <c r="A36" s="15" t="s">
        <v>489</v>
      </c>
      <c r="B36" s="16" t="s">
        <v>2234</v>
      </c>
    </row>
    <row r="37" ht="18.0" customHeight="1">
      <c r="A37" s="17" t="s">
        <v>491</v>
      </c>
      <c r="B37" s="18" t="s">
        <v>1298</v>
      </c>
    </row>
    <row r="38" ht="18.0" customHeight="1">
      <c r="A38" s="15" t="s">
        <v>493</v>
      </c>
      <c r="B38" s="16" t="s">
        <v>1976</v>
      </c>
    </row>
    <row r="39" ht="18.0" customHeight="1">
      <c r="A39" s="17" t="s">
        <v>498</v>
      </c>
      <c r="B39" s="18" t="s">
        <v>2237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2230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2238</v>
      </c>
    </row>
    <row r="5" ht="18.0" customHeight="1">
      <c r="A5" s="17" t="s">
        <v>413</v>
      </c>
      <c r="B5" s="18" t="s">
        <v>2239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2241</v>
      </c>
    </row>
    <row r="11" ht="18.0" customHeight="1">
      <c r="A11" s="17" t="s">
        <v>428</v>
      </c>
      <c r="B11" s="18" t="s">
        <v>1786</v>
      </c>
    </row>
    <row r="12" ht="18.0" customHeight="1">
      <c r="A12" s="15" t="s">
        <v>430</v>
      </c>
      <c r="B12" s="16" t="s">
        <v>2242</v>
      </c>
    </row>
    <row r="13" ht="18.0" customHeight="1">
      <c r="A13" s="17" t="s">
        <v>433</v>
      </c>
      <c r="B13" s="18" t="s">
        <v>2243</v>
      </c>
    </row>
    <row r="14" ht="18.0" customHeight="1">
      <c r="A14" s="15" t="s">
        <v>435</v>
      </c>
      <c r="B14" s="16" t="s">
        <v>558</v>
      </c>
    </row>
    <row r="15" ht="18.0" customHeight="1">
      <c r="A15" s="17" t="s">
        <v>437</v>
      </c>
      <c r="B15" s="18" t="s">
        <v>559</v>
      </c>
    </row>
    <row r="17" ht="19.5" customHeight="1">
      <c r="A17" s="13" t="s">
        <v>441</v>
      </c>
      <c r="B17" s="14"/>
    </row>
    <row r="18" ht="60.0" customHeight="1">
      <c r="A18" s="15" t="s">
        <v>2244</v>
      </c>
      <c r="B18" s="16" t="s">
        <v>2245</v>
      </c>
    </row>
    <row r="19" ht="60.0" customHeight="1">
      <c r="A19" s="17" t="s">
        <v>2246</v>
      </c>
      <c r="B19" s="18" t="s">
        <v>2247</v>
      </c>
    </row>
    <row r="20" ht="60.0" customHeight="1">
      <c r="A20" s="15" t="s">
        <v>2248</v>
      </c>
      <c r="B20" s="16" t="s">
        <v>2249</v>
      </c>
    </row>
    <row r="21" ht="30.0" customHeight="1">
      <c r="A21" s="17" t="s">
        <v>2250</v>
      </c>
      <c r="B21" s="18" t="s">
        <v>2251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2252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2253</v>
      </c>
    </row>
    <row r="28" ht="18.0" customHeight="1">
      <c r="A28" s="15" t="s">
        <v>471</v>
      </c>
      <c r="B28" s="16" t="s">
        <v>2254</v>
      </c>
    </row>
    <row r="29" ht="18.0" customHeight="1">
      <c r="A29" s="17" t="s">
        <v>473</v>
      </c>
      <c r="B29" s="18" t="s">
        <v>2255</v>
      </c>
    </row>
    <row r="30" ht="18.0" customHeight="1">
      <c r="A30" s="15" t="s">
        <v>475</v>
      </c>
      <c r="B30" s="16" t="s">
        <v>2257</v>
      </c>
    </row>
    <row r="31" ht="18.0" customHeight="1">
      <c r="A31" s="17" t="s">
        <v>477</v>
      </c>
      <c r="B31" s="18" t="s">
        <v>2258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2259</v>
      </c>
    </row>
    <row r="36" ht="18.0" customHeight="1">
      <c r="A36" s="15" t="s">
        <v>489</v>
      </c>
      <c r="B36" s="16" t="s">
        <v>2260</v>
      </c>
    </row>
    <row r="37" ht="18.0" customHeight="1">
      <c r="A37" s="17" t="s">
        <v>491</v>
      </c>
      <c r="B37" s="18" t="s">
        <v>2261</v>
      </c>
    </row>
    <row r="38" ht="18.0" customHeight="1">
      <c r="A38" s="15" t="s">
        <v>493</v>
      </c>
      <c r="B38" s="16" t="s">
        <v>2263</v>
      </c>
    </row>
    <row r="39" ht="18.0" customHeight="1">
      <c r="A39" s="17" t="s">
        <v>498</v>
      </c>
      <c r="B39" s="18" t="s">
        <v>1241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2256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2262</v>
      </c>
    </row>
    <row r="5" ht="18.0" customHeight="1">
      <c r="A5" s="17" t="s">
        <v>413</v>
      </c>
      <c r="B5" s="18" t="s">
        <v>2264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2265</v>
      </c>
    </row>
    <row r="11" ht="18.0" customHeight="1">
      <c r="A11" s="17" t="s">
        <v>428</v>
      </c>
      <c r="B11" s="18" t="s">
        <v>1749</v>
      </c>
    </row>
    <row r="12" ht="18.0" customHeight="1">
      <c r="A12" s="15" t="s">
        <v>430</v>
      </c>
      <c r="B12" s="16" t="s">
        <v>2266</v>
      </c>
    </row>
    <row r="13" ht="18.0" customHeight="1">
      <c r="A13" s="17" t="s">
        <v>433</v>
      </c>
      <c r="B13" s="18" t="s">
        <v>2267</v>
      </c>
    </row>
    <row r="14" ht="18.0" customHeight="1">
      <c r="A14" s="15" t="s">
        <v>435</v>
      </c>
      <c r="B14" s="16" t="s">
        <v>2268</v>
      </c>
    </row>
    <row r="15" ht="18.0" customHeight="1">
      <c r="A15" s="17" t="s">
        <v>437</v>
      </c>
      <c r="B15" s="18" t="s">
        <v>2269</v>
      </c>
    </row>
    <row r="17" ht="19.5" customHeight="1">
      <c r="A17" s="13" t="s">
        <v>441</v>
      </c>
      <c r="B17" s="14"/>
    </row>
    <row r="18" ht="60.0" customHeight="1">
      <c r="A18" s="15" t="s">
        <v>2270</v>
      </c>
      <c r="B18" s="16" t="s">
        <v>2271</v>
      </c>
    </row>
    <row r="19" ht="75.0" customHeight="1">
      <c r="A19" s="17" t="s">
        <v>2272</v>
      </c>
      <c r="B19" s="18" t="s">
        <v>2273</v>
      </c>
    </row>
    <row r="20" ht="60.0" customHeight="1">
      <c r="A20" s="15" t="s">
        <v>2274</v>
      </c>
      <c r="B20" s="16" t="s">
        <v>2275</v>
      </c>
    </row>
    <row r="21" ht="30.0" customHeight="1">
      <c r="A21" s="17" t="s">
        <v>2276</v>
      </c>
      <c r="B21" s="18" t="s">
        <v>2277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2278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2279</v>
      </c>
    </row>
    <row r="28" ht="18.0" customHeight="1">
      <c r="A28" s="15" t="s">
        <v>471</v>
      </c>
      <c r="B28" s="16" t="s">
        <v>2280</v>
      </c>
    </row>
    <row r="29" ht="18.0" customHeight="1">
      <c r="A29" s="17" t="s">
        <v>473</v>
      </c>
      <c r="B29" s="18" t="s">
        <v>2281</v>
      </c>
    </row>
    <row r="30" ht="18.0" customHeight="1">
      <c r="A30" s="15" t="s">
        <v>475</v>
      </c>
      <c r="B30" s="16" t="s">
        <v>2282</v>
      </c>
    </row>
    <row r="31" ht="18.0" customHeight="1">
      <c r="A31" s="17" t="s">
        <v>477</v>
      </c>
      <c r="B31" s="18" t="s">
        <v>2283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2284</v>
      </c>
    </row>
    <row r="36" ht="18.0" customHeight="1">
      <c r="A36" s="15" t="s">
        <v>489</v>
      </c>
      <c r="B36" s="16" t="s">
        <v>2285</v>
      </c>
    </row>
    <row r="37" ht="18.0" customHeight="1">
      <c r="A37" s="17" t="s">
        <v>491</v>
      </c>
      <c r="B37" s="18" t="s">
        <v>1980</v>
      </c>
    </row>
    <row r="38" ht="18.0" customHeight="1">
      <c r="A38" s="15" t="s">
        <v>493</v>
      </c>
      <c r="B38" s="16" t="s">
        <v>1153</v>
      </c>
    </row>
    <row r="39" ht="18.0" customHeight="1">
      <c r="A39" s="17" t="s">
        <v>498</v>
      </c>
      <c r="B39" s="18" t="s">
        <v>1494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2286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2287</v>
      </c>
    </row>
    <row r="5" ht="18.0" customHeight="1">
      <c r="A5" s="17" t="s">
        <v>413</v>
      </c>
      <c r="B5" s="18" t="s">
        <v>2288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1315</v>
      </c>
    </row>
    <row r="11" ht="18.0" customHeight="1">
      <c r="A11" s="17" t="s">
        <v>428</v>
      </c>
      <c r="B11" s="18" t="s">
        <v>2290</v>
      </c>
    </row>
    <row r="12" ht="18.0" customHeight="1">
      <c r="A12" s="15" t="s">
        <v>430</v>
      </c>
      <c r="B12" s="16" t="s">
        <v>2291</v>
      </c>
    </row>
    <row r="13" ht="18.0" customHeight="1">
      <c r="A13" s="17" t="s">
        <v>433</v>
      </c>
      <c r="B13" s="18" t="s">
        <v>2009</v>
      </c>
    </row>
    <row r="14" ht="18.0" customHeight="1">
      <c r="A14" s="15" t="s">
        <v>435</v>
      </c>
      <c r="B14" s="16" t="s">
        <v>2268</v>
      </c>
    </row>
    <row r="15" ht="18.0" customHeight="1">
      <c r="A15" s="17" t="s">
        <v>437</v>
      </c>
      <c r="B15" s="18" t="s">
        <v>2269</v>
      </c>
    </row>
    <row r="17" ht="19.5" customHeight="1">
      <c r="A17" s="13" t="s">
        <v>441</v>
      </c>
      <c r="B17" s="14"/>
    </row>
    <row r="18" ht="90.0" customHeight="1">
      <c r="A18" s="15" t="s">
        <v>2293</v>
      </c>
      <c r="B18" s="16" t="s">
        <v>2294</v>
      </c>
    </row>
    <row r="19" ht="75.0" customHeight="1">
      <c r="A19" s="17" t="s">
        <v>2295</v>
      </c>
      <c r="B19" s="18" t="s">
        <v>2296</v>
      </c>
    </row>
    <row r="20" ht="45.0" customHeight="1">
      <c r="A20" s="15" t="s">
        <v>2297</v>
      </c>
      <c r="B20" s="16" t="s">
        <v>2298</v>
      </c>
    </row>
    <row r="21" ht="30.0" customHeight="1">
      <c r="A21" s="17" t="s">
        <v>2299</v>
      </c>
      <c r="B21" s="18" t="s">
        <v>2300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2301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2303</v>
      </c>
    </row>
    <row r="28" ht="18.0" customHeight="1">
      <c r="A28" s="15" t="s">
        <v>471</v>
      </c>
      <c r="B28" s="16" t="s">
        <v>2304</v>
      </c>
    </row>
    <row r="29" ht="18.0" customHeight="1">
      <c r="A29" s="17" t="s">
        <v>473</v>
      </c>
      <c r="B29" s="18" t="s">
        <v>2305</v>
      </c>
    </row>
    <row r="30" ht="18.0" customHeight="1">
      <c r="A30" s="15" t="s">
        <v>475</v>
      </c>
      <c r="B30" s="16" t="s">
        <v>2306</v>
      </c>
    </row>
    <row r="31" ht="18.0" customHeight="1">
      <c r="A31" s="17" t="s">
        <v>477</v>
      </c>
      <c r="B31" s="18" t="s">
        <v>2307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2311</v>
      </c>
    </row>
    <row r="36" ht="18.0" customHeight="1">
      <c r="A36" s="15" t="s">
        <v>489</v>
      </c>
      <c r="B36" s="16" t="s">
        <v>2313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970</v>
      </c>
    </row>
    <row r="39" ht="18.0" customHeight="1">
      <c r="A39" s="17" t="s">
        <v>498</v>
      </c>
      <c r="B39" s="18" t="s">
        <v>1062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2289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2292</v>
      </c>
    </row>
    <row r="5" ht="18.0" customHeight="1">
      <c r="A5" s="17" t="s">
        <v>413</v>
      </c>
      <c r="B5" s="18" t="s">
        <v>1908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1303</v>
      </c>
    </row>
    <row r="11" ht="18.0" customHeight="1">
      <c r="A11" s="17" t="s">
        <v>428</v>
      </c>
      <c r="B11" s="18" t="s">
        <v>1929</v>
      </c>
    </row>
    <row r="12" ht="18.0" customHeight="1">
      <c r="A12" s="15" t="s">
        <v>430</v>
      </c>
      <c r="B12" s="16" t="s">
        <v>2302</v>
      </c>
    </row>
    <row r="13" ht="18.0" customHeight="1">
      <c r="A13" s="17" t="s">
        <v>433</v>
      </c>
      <c r="B13" s="18" t="s">
        <v>1953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1259</v>
      </c>
      <c r="B18" s="16" t="s">
        <v>2308</v>
      </c>
    </row>
    <row r="19" ht="60.0" customHeight="1">
      <c r="A19" s="17" t="s">
        <v>2309</v>
      </c>
      <c r="B19" s="18" t="s">
        <v>2310</v>
      </c>
    </row>
    <row r="20" ht="45.0" customHeight="1">
      <c r="A20" s="15" t="s">
        <v>2312</v>
      </c>
      <c r="B20" s="16" t="s">
        <v>2314</v>
      </c>
    </row>
    <row r="21" ht="60.0" customHeight="1">
      <c r="A21" s="17" t="s">
        <v>2315</v>
      </c>
      <c r="B21" s="18" t="s">
        <v>2316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2317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2318</v>
      </c>
    </row>
    <row r="28" ht="18.0" customHeight="1">
      <c r="A28" s="15" t="s">
        <v>471</v>
      </c>
      <c r="B28" s="16" t="s">
        <v>2319</v>
      </c>
    </row>
    <row r="29" ht="18.0" customHeight="1">
      <c r="A29" s="17" t="s">
        <v>473</v>
      </c>
      <c r="B29" s="18" t="s">
        <v>2320</v>
      </c>
    </row>
    <row r="30" ht="18.0" customHeight="1">
      <c r="A30" s="15" t="s">
        <v>475</v>
      </c>
      <c r="B30" s="16" t="s">
        <v>2321</v>
      </c>
    </row>
    <row r="31" ht="18.0" customHeight="1">
      <c r="A31" s="17" t="s">
        <v>477</v>
      </c>
      <c r="B31" s="18" t="s">
        <v>2322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2324</v>
      </c>
    </row>
    <row r="36" ht="18.0" customHeight="1">
      <c r="A36" s="15" t="s">
        <v>489</v>
      </c>
      <c r="B36" s="16" t="s">
        <v>2325</v>
      </c>
    </row>
    <row r="37" ht="18.0" customHeight="1">
      <c r="A37" s="17" t="s">
        <v>491</v>
      </c>
      <c r="B37" s="18" t="s">
        <v>2326</v>
      </c>
    </row>
    <row r="38" ht="18.0" customHeight="1">
      <c r="A38" s="15" t="s">
        <v>493</v>
      </c>
      <c r="B38" s="16" t="s">
        <v>1976</v>
      </c>
    </row>
    <row r="39" ht="18.0" customHeight="1">
      <c r="A39" s="17" t="s">
        <v>498</v>
      </c>
      <c r="B39" s="18" t="s">
        <v>910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2323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2327</v>
      </c>
    </row>
    <row r="5" ht="18.0" customHeight="1">
      <c r="A5" s="17" t="s">
        <v>413</v>
      </c>
      <c r="B5" s="18" t="s">
        <v>431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506</v>
      </c>
    </row>
    <row r="10" ht="18.0" customHeight="1">
      <c r="A10" s="15" t="s">
        <v>425</v>
      </c>
      <c r="B10" s="16" t="s">
        <v>2328</v>
      </c>
    </row>
    <row r="11" ht="18.0" customHeight="1">
      <c r="A11" s="17" t="s">
        <v>428</v>
      </c>
      <c r="B11" s="18" t="s">
        <v>1952</v>
      </c>
    </row>
    <row r="12" ht="18.0" customHeight="1">
      <c r="A12" s="15" t="s">
        <v>430</v>
      </c>
      <c r="B12" s="16" t="s">
        <v>1810</v>
      </c>
    </row>
    <row r="13" ht="18.0" customHeight="1">
      <c r="A13" s="17" t="s">
        <v>433</v>
      </c>
      <c r="B13" s="18" t="s">
        <v>1953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1574</v>
      </c>
      <c r="B18" s="16" t="s">
        <v>2329</v>
      </c>
    </row>
    <row r="19" ht="60.0" customHeight="1">
      <c r="A19" s="17" t="s">
        <v>1576</v>
      </c>
      <c r="B19" s="18" t="s">
        <v>2330</v>
      </c>
    </row>
    <row r="20" ht="60.0" customHeight="1">
      <c r="A20" s="15" t="s">
        <v>2331</v>
      </c>
      <c r="B20" s="16" t="s">
        <v>2332</v>
      </c>
    </row>
    <row r="21" ht="30.0" customHeight="1">
      <c r="A21" s="17" t="s">
        <v>2333</v>
      </c>
      <c r="B21" s="18" t="s">
        <v>2334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2335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2336</v>
      </c>
    </row>
    <row r="28" ht="18.0" customHeight="1">
      <c r="A28" s="15" t="s">
        <v>471</v>
      </c>
      <c r="B28" s="16" t="s">
        <v>2337</v>
      </c>
    </row>
    <row r="29" ht="18.0" customHeight="1">
      <c r="A29" s="17" t="s">
        <v>473</v>
      </c>
      <c r="B29" s="18" t="s">
        <v>2338</v>
      </c>
    </row>
    <row r="30" ht="18.0" customHeight="1">
      <c r="A30" s="15" t="s">
        <v>475</v>
      </c>
      <c r="B30" s="16" t="s">
        <v>2339</v>
      </c>
    </row>
    <row r="31" ht="18.0" customHeight="1">
      <c r="A31" s="17" t="s">
        <v>477</v>
      </c>
      <c r="B31" s="18" t="s">
        <v>2340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2342</v>
      </c>
    </row>
    <row r="36" ht="18.0" customHeight="1">
      <c r="A36" s="15" t="s">
        <v>489</v>
      </c>
      <c r="B36" s="16" t="s">
        <v>2343</v>
      </c>
    </row>
    <row r="37" ht="18.0" customHeight="1">
      <c r="A37" s="17" t="s">
        <v>491</v>
      </c>
      <c r="B37" s="18" t="s">
        <v>1489</v>
      </c>
    </row>
    <row r="38" ht="18.0" customHeight="1">
      <c r="A38" s="15" t="s">
        <v>493</v>
      </c>
      <c r="B38" s="16" t="s">
        <v>1729</v>
      </c>
    </row>
    <row r="39" ht="18.0" customHeight="1">
      <c r="A39" s="17" t="s">
        <v>498</v>
      </c>
      <c r="B39" s="18" t="s">
        <v>2344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2341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2345</v>
      </c>
    </row>
    <row r="5" ht="18.0" customHeight="1">
      <c r="A5" s="17" t="s">
        <v>413</v>
      </c>
      <c r="B5" s="18" t="s">
        <v>2346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2347</v>
      </c>
    </row>
    <row r="11" ht="18.0" customHeight="1">
      <c r="A11" s="17" t="s">
        <v>428</v>
      </c>
      <c r="B11" s="18" t="s">
        <v>2348</v>
      </c>
    </row>
    <row r="12" ht="18.0" customHeight="1">
      <c r="A12" s="15" t="s">
        <v>430</v>
      </c>
      <c r="B12" s="16" t="s">
        <v>1736</v>
      </c>
    </row>
    <row r="13" ht="18.0" customHeight="1">
      <c r="A13" s="17" t="s">
        <v>433</v>
      </c>
      <c r="B13" s="18" t="s">
        <v>1788</v>
      </c>
    </row>
    <row r="14" ht="18.0" customHeight="1">
      <c r="A14" s="15" t="s">
        <v>435</v>
      </c>
      <c r="B14" s="16" t="s">
        <v>2349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60.0" customHeight="1">
      <c r="A18" s="15" t="s">
        <v>2350</v>
      </c>
      <c r="B18" s="16" t="s">
        <v>2351</v>
      </c>
    </row>
    <row r="19" ht="75.0" customHeight="1">
      <c r="A19" s="17" t="s">
        <v>2352</v>
      </c>
      <c r="B19" s="18" t="s">
        <v>2353</v>
      </c>
    </row>
    <row r="20" ht="45.0" customHeight="1">
      <c r="A20" s="15" t="s">
        <v>2354</v>
      </c>
      <c r="B20" s="16" t="s">
        <v>2355</v>
      </c>
    </row>
    <row r="21" ht="45.0" customHeight="1">
      <c r="A21" s="17" t="s">
        <v>2356</v>
      </c>
      <c r="B21" s="18" t="s">
        <v>2357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2358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2359</v>
      </c>
    </row>
    <row r="28" ht="18.0" customHeight="1">
      <c r="A28" s="15" t="s">
        <v>471</v>
      </c>
      <c r="B28" s="16" t="s">
        <v>2360</v>
      </c>
    </row>
    <row r="29" ht="18.0" customHeight="1">
      <c r="A29" s="17" t="s">
        <v>473</v>
      </c>
      <c r="B29" s="18" t="s">
        <v>2361</v>
      </c>
    </row>
    <row r="30" ht="18.0" customHeight="1">
      <c r="A30" s="15" t="s">
        <v>475</v>
      </c>
      <c r="B30" s="16" t="s">
        <v>2362</v>
      </c>
    </row>
    <row r="31" ht="18.0" customHeight="1">
      <c r="A31" s="17" t="s">
        <v>477</v>
      </c>
      <c r="B31" s="18" t="s">
        <v>2363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2364</v>
      </c>
    </row>
    <row r="36" ht="18.0" customHeight="1">
      <c r="A36" s="15" t="s">
        <v>489</v>
      </c>
      <c r="B36" s="16" t="s">
        <v>2365</v>
      </c>
    </row>
    <row r="37" ht="18.0" customHeight="1">
      <c r="A37" s="17" t="s">
        <v>491</v>
      </c>
      <c r="B37" s="18" t="s">
        <v>2366</v>
      </c>
    </row>
    <row r="38" ht="18.0" customHeight="1">
      <c r="A38" s="15" t="s">
        <v>493</v>
      </c>
      <c r="B38" s="16" t="s">
        <v>593</v>
      </c>
    </row>
    <row r="39" ht="18.0" customHeight="1">
      <c r="A39" s="17" t="s">
        <v>498</v>
      </c>
      <c r="B39" s="18" t="s">
        <v>2367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2368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2369</v>
      </c>
    </row>
    <row r="5" ht="18.0" customHeight="1">
      <c r="A5" s="17" t="s">
        <v>413</v>
      </c>
      <c r="B5" s="18" t="s">
        <v>2370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2372</v>
      </c>
    </row>
    <row r="11" ht="18.0" customHeight="1">
      <c r="A11" s="17" t="s">
        <v>428</v>
      </c>
      <c r="B11" s="18" t="s">
        <v>1929</v>
      </c>
    </row>
    <row r="12" ht="18.0" customHeight="1">
      <c r="A12" s="15" t="s">
        <v>430</v>
      </c>
      <c r="B12" s="16" t="s">
        <v>2199</v>
      </c>
    </row>
    <row r="13" ht="18.0" customHeight="1">
      <c r="A13" s="17" t="s">
        <v>433</v>
      </c>
      <c r="B13" s="18" t="s">
        <v>2373</v>
      </c>
    </row>
    <row r="14" ht="18.0" customHeight="1">
      <c r="A14" s="15" t="s">
        <v>435</v>
      </c>
      <c r="B14" s="16" t="s">
        <v>2374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60.0" customHeight="1">
      <c r="A18" s="15" t="s">
        <v>771</v>
      </c>
      <c r="B18" s="16" t="s">
        <v>2375</v>
      </c>
    </row>
    <row r="19" ht="75.0" customHeight="1">
      <c r="A19" s="17" t="s">
        <v>773</v>
      </c>
      <c r="B19" s="18" t="s">
        <v>2376</v>
      </c>
    </row>
    <row r="20" ht="60.0" customHeight="1">
      <c r="A20" s="15" t="s">
        <v>2377</v>
      </c>
      <c r="B20" s="16" t="s">
        <v>2378</v>
      </c>
    </row>
    <row r="21" ht="30.0" customHeight="1">
      <c r="A21" s="17" t="s">
        <v>2379</v>
      </c>
      <c r="B21" s="18" t="s">
        <v>2380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2381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2383</v>
      </c>
    </row>
    <row r="28" ht="18.0" customHeight="1">
      <c r="A28" s="15" t="s">
        <v>471</v>
      </c>
      <c r="B28" s="16" t="s">
        <v>2384</v>
      </c>
    </row>
    <row r="29" ht="18.0" customHeight="1">
      <c r="A29" s="17" t="s">
        <v>473</v>
      </c>
      <c r="B29" s="18" t="s">
        <v>2385</v>
      </c>
    </row>
    <row r="30" ht="18.0" customHeight="1">
      <c r="A30" s="15" t="s">
        <v>475</v>
      </c>
      <c r="B30" s="16" t="s">
        <v>2386</v>
      </c>
    </row>
    <row r="31" ht="18.0" customHeight="1">
      <c r="A31" s="17" t="s">
        <v>477</v>
      </c>
      <c r="B31" s="18" t="s">
        <v>2387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2389</v>
      </c>
    </row>
    <row r="36" ht="18.0" customHeight="1">
      <c r="A36" s="15" t="s">
        <v>489</v>
      </c>
      <c r="B36" s="16" t="s">
        <v>2390</v>
      </c>
    </row>
    <row r="37" ht="18.0" customHeight="1">
      <c r="A37" s="17" t="s">
        <v>491</v>
      </c>
      <c r="B37" s="18" t="s">
        <v>2392</v>
      </c>
    </row>
    <row r="38" ht="18.0" customHeight="1">
      <c r="A38" s="15" t="s">
        <v>493</v>
      </c>
      <c r="B38" s="16" t="s">
        <v>1981</v>
      </c>
    </row>
    <row r="39" ht="18.0" customHeight="1">
      <c r="A39" s="17" t="s">
        <v>498</v>
      </c>
      <c r="B39" s="18" t="s">
        <v>2393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2382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2388</v>
      </c>
    </row>
    <row r="5" ht="18.0" customHeight="1">
      <c r="A5" s="17" t="s">
        <v>413</v>
      </c>
      <c r="B5" s="18" t="s">
        <v>2391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2394</v>
      </c>
    </row>
    <row r="11" ht="18.0" customHeight="1">
      <c r="A11" s="17" t="s">
        <v>428</v>
      </c>
      <c r="B11" s="18" t="s">
        <v>2395</v>
      </c>
    </row>
    <row r="12" ht="18.0" customHeight="1">
      <c r="A12" s="15" t="s">
        <v>430</v>
      </c>
      <c r="B12" s="16" t="s">
        <v>1750</v>
      </c>
    </row>
    <row r="13" ht="18.0" customHeight="1">
      <c r="A13" s="17" t="s">
        <v>433</v>
      </c>
      <c r="B13" s="18" t="s">
        <v>1839</v>
      </c>
    </row>
    <row r="14" ht="18.0" customHeight="1">
      <c r="A14" s="15" t="s">
        <v>435</v>
      </c>
      <c r="B14" s="16" t="s">
        <v>2396</v>
      </c>
    </row>
    <row r="15" ht="18.0" customHeight="1">
      <c r="A15" s="17" t="s">
        <v>437</v>
      </c>
      <c r="B15" s="18" t="s">
        <v>1852</v>
      </c>
    </row>
    <row r="17" ht="19.5" customHeight="1">
      <c r="A17" s="13" t="s">
        <v>441</v>
      </c>
      <c r="B17" s="14"/>
    </row>
    <row r="18" ht="75.0" customHeight="1">
      <c r="A18" s="15" t="s">
        <v>2397</v>
      </c>
      <c r="B18" s="16" t="s">
        <v>2398</v>
      </c>
    </row>
    <row r="19" ht="75.0" customHeight="1">
      <c r="A19" s="17" t="s">
        <v>2399</v>
      </c>
      <c r="B19" s="18" t="s">
        <v>2400</v>
      </c>
    </row>
    <row r="20" ht="45.0" customHeight="1">
      <c r="A20" s="15" t="s">
        <v>2401</v>
      </c>
      <c r="B20" s="16" t="s">
        <v>2402</v>
      </c>
    </row>
    <row r="21" ht="45.0" customHeight="1">
      <c r="A21" s="17" t="s">
        <v>2403</v>
      </c>
      <c r="B21" s="18" t="s">
        <v>2404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2406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2407</v>
      </c>
    </row>
    <row r="28" ht="18.0" customHeight="1">
      <c r="A28" s="15" t="s">
        <v>471</v>
      </c>
      <c r="B28" s="16" t="s">
        <v>2409</v>
      </c>
    </row>
    <row r="29" ht="18.0" customHeight="1">
      <c r="A29" s="17" t="s">
        <v>473</v>
      </c>
      <c r="B29" s="18" t="s">
        <v>2410</v>
      </c>
    </row>
    <row r="30" ht="18.0" customHeight="1">
      <c r="A30" s="15" t="s">
        <v>475</v>
      </c>
      <c r="B30" s="16" t="s">
        <v>2411</v>
      </c>
    </row>
    <row r="31" ht="18.0" customHeight="1">
      <c r="A31" s="17" t="s">
        <v>477</v>
      </c>
      <c r="B31" s="18" t="s">
        <v>2412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2414</v>
      </c>
    </row>
    <row r="36" ht="18.0" customHeight="1">
      <c r="A36" s="15" t="s">
        <v>489</v>
      </c>
      <c r="B36" s="16" t="s">
        <v>2416</v>
      </c>
    </row>
    <row r="37" ht="18.0" customHeight="1">
      <c r="A37" s="17" t="s">
        <v>491</v>
      </c>
      <c r="B37" s="18" t="s">
        <v>2417</v>
      </c>
    </row>
    <row r="38" ht="18.0" customHeight="1">
      <c r="A38" s="15" t="s">
        <v>493</v>
      </c>
      <c r="B38" s="16" t="s">
        <v>688</v>
      </c>
    </row>
    <row r="39" ht="18.0" customHeight="1">
      <c r="A39" s="17" t="s">
        <v>498</v>
      </c>
      <c r="B39" s="18" t="s">
        <v>926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2405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2408</v>
      </c>
    </row>
    <row r="5" ht="18.0" customHeight="1">
      <c r="A5" s="17" t="s">
        <v>413</v>
      </c>
      <c r="B5" s="18" t="s">
        <v>1742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2413</v>
      </c>
    </row>
    <row r="11" ht="18.0" customHeight="1">
      <c r="A11" s="17" t="s">
        <v>428</v>
      </c>
      <c r="B11" s="18" t="s">
        <v>1749</v>
      </c>
    </row>
    <row r="12" ht="18.0" customHeight="1">
      <c r="A12" s="15" t="s">
        <v>430</v>
      </c>
      <c r="B12" s="16" t="s">
        <v>1837</v>
      </c>
    </row>
    <row r="13" ht="18.0" customHeight="1">
      <c r="A13" s="17" t="s">
        <v>433</v>
      </c>
      <c r="B13" s="18" t="s">
        <v>2415</v>
      </c>
    </row>
    <row r="14" ht="18.0" customHeight="1">
      <c r="A14" s="15" t="s">
        <v>435</v>
      </c>
      <c r="B14" s="16" t="s">
        <v>2112</v>
      </c>
    </row>
    <row r="15" ht="18.0" customHeight="1">
      <c r="A15" s="17" t="s">
        <v>437</v>
      </c>
      <c r="B15" s="18" t="s">
        <v>1754</v>
      </c>
    </row>
    <row r="17" ht="19.5" customHeight="1">
      <c r="A17" s="13" t="s">
        <v>441</v>
      </c>
      <c r="B17" s="14"/>
    </row>
    <row r="18" ht="90.0" customHeight="1">
      <c r="A18" s="15" t="s">
        <v>2418</v>
      </c>
      <c r="B18" s="16" t="s">
        <v>2419</v>
      </c>
    </row>
    <row r="19" ht="60.0" customHeight="1">
      <c r="A19" s="17" t="s">
        <v>448</v>
      </c>
      <c r="B19" s="18" t="s">
        <v>2420</v>
      </c>
    </row>
    <row r="20" ht="30.0" customHeight="1">
      <c r="A20" s="15" t="s">
        <v>2421</v>
      </c>
      <c r="B20" s="16" t="s">
        <v>2422</v>
      </c>
    </row>
    <row r="21" ht="45.0" customHeight="1">
      <c r="A21" s="17" t="s">
        <v>2423</v>
      </c>
      <c r="B21" s="18" t="s">
        <v>2424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2425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2426</v>
      </c>
    </row>
    <row r="28" ht="18.0" customHeight="1">
      <c r="A28" s="15" t="s">
        <v>471</v>
      </c>
      <c r="B28" s="16" t="s">
        <v>2427</v>
      </c>
    </row>
    <row r="29" ht="18.0" customHeight="1">
      <c r="A29" s="17" t="s">
        <v>473</v>
      </c>
      <c r="B29" s="18" t="s">
        <v>2428</v>
      </c>
    </row>
    <row r="30" ht="18.0" customHeight="1">
      <c r="A30" s="15" t="s">
        <v>475</v>
      </c>
      <c r="B30" s="16" t="s">
        <v>2429</v>
      </c>
    </row>
    <row r="31" ht="18.0" customHeight="1">
      <c r="A31" s="17" t="s">
        <v>477</v>
      </c>
      <c r="B31" s="18" t="s">
        <v>2430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2431</v>
      </c>
    </row>
    <row r="36" ht="18.0" customHeight="1">
      <c r="A36" s="15" t="s">
        <v>489</v>
      </c>
      <c r="B36" s="16" t="s">
        <v>2432</v>
      </c>
    </row>
    <row r="37" ht="18.0" customHeight="1">
      <c r="A37" s="17" t="s">
        <v>491</v>
      </c>
      <c r="B37" s="18" t="s">
        <v>1106</v>
      </c>
    </row>
    <row r="38" ht="18.0" customHeight="1">
      <c r="A38" s="15" t="s">
        <v>493</v>
      </c>
      <c r="B38" s="16" t="s">
        <v>1341</v>
      </c>
    </row>
    <row r="39" ht="18.0" customHeight="1">
      <c r="A39" s="17" t="s">
        <v>498</v>
      </c>
      <c r="B39" s="18" t="s">
        <v>1190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2433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2434</v>
      </c>
    </row>
    <row r="5" ht="18.0" customHeight="1">
      <c r="A5" s="17" t="s">
        <v>413</v>
      </c>
      <c r="B5" s="18" t="s">
        <v>2435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535</v>
      </c>
    </row>
    <row r="11" ht="18.0" customHeight="1">
      <c r="A11" s="17" t="s">
        <v>428</v>
      </c>
      <c r="B11" s="18" t="s">
        <v>1952</v>
      </c>
    </row>
    <row r="12" ht="18.0" customHeight="1">
      <c r="A12" s="15" t="s">
        <v>430</v>
      </c>
      <c r="B12" s="16" t="s">
        <v>1810</v>
      </c>
    </row>
    <row r="13" ht="18.0" customHeight="1">
      <c r="A13" s="17" t="s">
        <v>433</v>
      </c>
      <c r="B13" s="18" t="s">
        <v>1953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2436</v>
      </c>
      <c r="B18" s="16" t="s">
        <v>2437</v>
      </c>
    </row>
    <row r="19" ht="60.0" customHeight="1">
      <c r="A19" s="17" t="s">
        <v>2438</v>
      </c>
      <c r="B19" s="18" t="s">
        <v>2439</v>
      </c>
    </row>
    <row r="20" ht="60.0" customHeight="1">
      <c r="A20" s="15" t="s">
        <v>2440</v>
      </c>
      <c r="B20" s="16" t="s">
        <v>2441</v>
      </c>
    </row>
    <row r="21" ht="45.0" customHeight="1">
      <c r="A21" s="17" t="s">
        <v>2442</v>
      </c>
      <c r="B21" s="18" t="s">
        <v>2443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2444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2445</v>
      </c>
    </row>
    <row r="28" ht="18.0" customHeight="1">
      <c r="A28" s="15" t="s">
        <v>471</v>
      </c>
      <c r="B28" s="16" t="s">
        <v>2446</v>
      </c>
    </row>
    <row r="29" ht="18.0" customHeight="1">
      <c r="A29" s="17" t="s">
        <v>473</v>
      </c>
      <c r="B29" s="18" t="s">
        <v>2447</v>
      </c>
    </row>
    <row r="30" ht="18.0" customHeight="1">
      <c r="A30" s="15" t="s">
        <v>475</v>
      </c>
      <c r="B30" s="16" t="s">
        <v>2448</v>
      </c>
    </row>
    <row r="31" ht="18.0" customHeight="1">
      <c r="A31" s="17" t="s">
        <v>477</v>
      </c>
      <c r="B31" s="18" t="s">
        <v>2449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2450</v>
      </c>
    </row>
    <row r="36" ht="18.0" customHeight="1">
      <c r="A36" s="15" t="s">
        <v>489</v>
      </c>
      <c r="B36" s="16" t="s">
        <v>2451</v>
      </c>
    </row>
    <row r="37" ht="18.0" customHeight="1">
      <c r="A37" s="17" t="s">
        <v>491</v>
      </c>
      <c r="B37" s="18" t="s">
        <v>2452</v>
      </c>
    </row>
    <row r="38" ht="18.0" customHeight="1">
      <c r="A38" s="15" t="s">
        <v>493</v>
      </c>
      <c r="B38" s="16" t="s">
        <v>2453</v>
      </c>
    </row>
    <row r="39" ht="18.0" customHeight="1">
      <c r="A39" s="17" t="s">
        <v>498</v>
      </c>
      <c r="B39" s="18" t="s">
        <v>2344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2454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2455</v>
      </c>
    </row>
    <row r="5" ht="18.0" customHeight="1">
      <c r="A5" s="17" t="s">
        <v>413</v>
      </c>
      <c r="B5" s="18" t="s">
        <v>2005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2456</v>
      </c>
    </row>
    <row r="11" ht="18.0" customHeight="1">
      <c r="A11" s="17" t="s">
        <v>428</v>
      </c>
      <c r="B11" s="18" t="s">
        <v>1886</v>
      </c>
    </row>
    <row r="12" ht="18.0" customHeight="1">
      <c r="A12" s="15" t="s">
        <v>430</v>
      </c>
      <c r="B12" s="16" t="s">
        <v>1887</v>
      </c>
    </row>
    <row r="13" ht="18.0" customHeight="1">
      <c r="A13" s="17" t="s">
        <v>433</v>
      </c>
      <c r="B13" s="18" t="s">
        <v>1811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60.0" customHeight="1">
      <c r="A18" s="15" t="s">
        <v>2457</v>
      </c>
      <c r="B18" s="16" t="s">
        <v>2458</v>
      </c>
    </row>
    <row r="19" ht="60.0" customHeight="1">
      <c r="A19" s="17" t="s">
        <v>2459</v>
      </c>
      <c r="B19" s="18" t="s">
        <v>2460</v>
      </c>
    </row>
    <row r="20" ht="60.0" customHeight="1">
      <c r="A20" s="15" t="s">
        <v>2461</v>
      </c>
      <c r="B20" s="16" t="s">
        <v>2462</v>
      </c>
    </row>
    <row r="21" ht="60.0" customHeight="1">
      <c r="A21" s="17" t="s">
        <v>2463</v>
      </c>
      <c r="B21" s="18" t="s">
        <v>2464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2465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2466</v>
      </c>
    </row>
    <row r="28" ht="18.0" customHeight="1">
      <c r="A28" s="15" t="s">
        <v>471</v>
      </c>
      <c r="B28" s="16" t="s">
        <v>2467</v>
      </c>
    </row>
    <row r="29" ht="18.0" customHeight="1">
      <c r="A29" s="17" t="s">
        <v>473</v>
      </c>
      <c r="B29" s="18" t="s">
        <v>2468</v>
      </c>
    </row>
    <row r="30" ht="18.0" customHeight="1">
      <c r="A30" s="15" t="s">
        <v>475</v>
      </c>
      <c r="B30" s="16" t="s">
        <v>2469</v>
      </c>
    </row>
    <row r="31" ht="18.0" customHeight="1">
      <c r="A31" s="17" t="s">
        <v>477</v>
      </c>
      <c r="B31" s="18" t="s">
        <v>2470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2471</v>
      </c>
    </row>
    <row r="36" ht="18.0" customHeight="1">
      <c r="A36" s="15" t="s">
        <v>489</v>
      </c>
      <c r="B36" s="16" t="s">
        <v>2472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2473</v>
      </c>
    </row>
    <row r="39" ht="18.0" customHeight="1">
      <c r="A39" s="17" t="s">
        <v>498</v>
      </c>
      <c r="B39" s="18" t="s">
        <v>2474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2475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2476</v>
      </c>
    </row>
    <row r="5" ht="18.0" customHeight="1">
      <c r="A5" s="17" t="s">
        <v>413</v>
      </c>
      <c r="B5" s="18" t="s">
        <v>2477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2478</v>
      </c>
    </row>
    <row r="11" ht="18.0" customHeight="1">
      <c r="A11" s="17" t="s">
        <v>428</v>
      </c>
      <c r="B11" s="18" t="s">
        <v>1735</v>
      </c>
    </row>
    <row r="12" ht="18.0" customHeight="1">
      <c r="A12" s="15" t="s">
        <v>430</v>
      </c>
      <c r="B12" s="16" t="s">
        <v>2480</v>
      </c>
    </row>
    <row r="13" ht="18.0" customHeight="1">
      <c r="A13" s="17" t="s">
        <v>433</v>
      </c>
      <c r="B13" s="18" t="s">
        <v>2415</v>
      </c>
    </row>
    <row r="14" ht="18.0" customHeight="1">
      <c r="A14" s="15" t="s">
        <v>435</v>
      </c>
      <c r="B14" s="16" t="s">
        <v>2481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75.0" customHeight="1">
      <c r="A18" s="15" t="s">
        <v>2482</v>
      </c>
      <c r="B18" s="16" t="s">
        <v>2483</v>
      </c>
    </row>
    <row r="19" ht="75.0" customHeight="1">
      <c r="A19" s="17" t="s">
        <v>2484</v>
      </c>
      <c r="B19" s="18" t="s">
        <v>2485</v>
      </c>
    </row>
    <row r="20" ht="45.0" customHeight="1">
      <c r="A20" s="15" t="s">
        <v>2487</v>
      </c>
      <c r="B20" s="16" t="s">
        <v>2488</v>
      </c>
    </row>
    <row r="21" ht="60.0" customHeight="1">
      <c r="A21" s="17" t="s">
        <v>2489</v>
      </c>
      <c r="B21" s="18" t="s">
        <v>2491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2492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2494</v>
      </c>
    </row>
    <row r="28" ht="18.0" customHeight="1">
      <c r="A28" s="15" t="s">
        <v>471</v>
      </c>
      <c r="B28" s="16" t="s">
        <v>2496</v>
      </c>
    </row>
    <row r="29" ht="18.0" customHeight="1">
      <c r="A29" s="17" t="s">
        <v>473</v>
      </c>
      <c r="B29" s="18" t="s">
        <v>2497</v>
      </c>
    </row>
    <row r="30" ht="18.0" customHeight="1">
      <c r="A30" s="15" t="s">
        <v>475</v>
      </c>
      <c r="B30" s="16" t="s">
        <v>2499</v>
      </c>
    </row>
    <row r="31" ht="18.0" customHeight="1">
      <c r="A31" s="17" t="s">
        <v>477</v>
      </c>
      <c r="B31" s="18" t="s">
        <v>2500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2504</v>
      </c>
    </row>
    <row r="36" ht="18.0" customHeight="1">
      <c r="A36" s="15" t="s">
        <v>489</v>
      </c>
      <c r="B36" s="16" t="s">
        <v>2507</v>
      </c>
    </row>
    <row r="37" ht="18.0" customHeight="1">
      <c r="A37" s="17" t="s">
        <v>491</v>
      </c>
      <c r="B37" s="18" t="s">
        <v>2509</v>
      </c>
    </row>
    <row r="38" ht="18.0" customHeight="1">
      <c r="A38" s="15" t="s">
        <v>493</v>
      </c>
      <c r="B38" s="16" t="s">
        <v>2512</v>
      </c>
    </row>
    <row r="39" ht="18.0" customHeight="1">
      <c r="A39" s="17" t="s">
        <v>498</v>
      </c>
      <c r="B39" s="18" t="s">
        <v>1494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2479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2486</v>
      </c>
    </row>
    <row r="5" ht="18.0" customHeight="1">
      <c r="A5" s="17" t="s">
        <v>413</v>
      </c>
      <c r="B5" s="18" t="s">
        <v>2490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2493</v>
      </c>
    </row>
    <row r="11" ht="18.0" customHeight="1">
      <c r="A11" s="17" t="s">
        <v>428</v>
      </c>
      <c r="B11" s="18" t="s">
        <v>2495</v>
      </c>
    </row>
    <row r="12" ht="18.0" customHeight="1">
      <c r="A12" s="15" t="s">
        <v>430</v>
      </c>
      <c r="B12" s="16" t="s">
        <v>2201</v>
      </c>
    </row>
    <row r="13" ht="18.0" customHeight="1">
      <c r="A13" s="17" t="s">
        <v>433</v>
      </c>
      <c r="B13" s="18" t="s">
        <v>1811</v>
      </c>
    </row>
    <row r="14" ht="18.0" customHeight="1">
      <c r="A14" s="15" t="s">
        <v>435</v>
      </c>
      <c r="B14" s="16" t="s">
        <v>2498</v>
      </c>
    </row>
    <row r="15" ht="18.0" customHeight="1">
      <c r="A15" s="17" t="s">
        <v>437</v>
      </c>
      <c r="B15" s="18" t="s">
        <v>1711</v>
      </c>
    </row>
    <row r="17" ht="19.5" customHeight="1">
      <c r="A17" s="13" t="s">
        <v>441</v>
      </c>
      <c r="B17" s="14"/>
    </row>
    <row r="18" ht="60.0" customHeight="1">
      <c r="A18" s="15" t="s">
        <v>2501</v>
      </c>
      <c r="B18" s="16" t="s">
        <v>2502</v>
      </c>
    </row>
    <row r="19" ht="90.0" customHeight="1">
      <c r="A19" s="17" t="s">
        <v>2503</v>
      </c>
      <c r="B19" s="18" t="s">
        <v>2505</v>
      </c>
    </row>
    <row r="20" ht="60.0" customHeight="1">
      <c r="A20" s="15" t="s">
        <v>2506</v>
      </c>
      <c r="B20" s="16" t="s">
        <v>2508</v>
      </c>
    </row>
    <row r="21" ht="60.0" customHeight="1">
      <c r="A21" s="17" t="s">
        <v>2510</v>
      </c>
      <c r="B21" s="18" t="s">
        <v>2511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2513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2514</v>
      </c>
    </row>
    <row r="28" ht="18.0" customHeight="1">
      <c r="A28" s="15" t="s">
        <v>471</v>
      </c>
      <c r="B28" s="16" t="s">
        <v>2515</v>
      </c>
    </row>
    <row r="29" ht="18.0" customHeight="1">
      <c r="A29" s="17" t="s">
        <v>473</v>
      </c>
      <c r="B29" s="18" t="s">
        <v>2516</v>
      </c>
    </row>
    <row r="30" ht="18.0" customHeight="1">
      <c r="A30" s="15" t="s">
        <v>475</v>
      </c>
      <c r="B30" s="16" t="s">
        <v>2517</v>
      </c>
    </row>
    <row r="31" ht="18.0" customHeight="1">
      <c r="A31" s="17" t="s">
        <v>477</v>
      </c>
      <c r="B31" s="18" t="s">
        <v>2518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2520</v>
      </c>
    </row>
    <row r="36" ht="18.0" customHeight="1">
      <c r="A36" s="15" t="s">
        <v>489</v>
      </c>
      <c r="B36" s="16" t="s">
        <v>2521</v>
      </c>
    </row>
    <row r="37" ht="18.0" customHeight="1">
      <c r="A37" s="17" t="s">
        <v>491</v>
      </c>
      <c r="B37" s="18" t="s">
        <v>2522</v>
      </c>
    </row>
    <row r="38" ht="18.0" customHeight="1">
      <c r="A38" s="15" t="s">
        <v>493</v>
      </c>
      <c r="B38" s="16" t="s">
        <v>2453</v>
      </c>
    </row>
    <row r="39" ht="18.0" customHeight="1">
      <c r="A39" s="17" t="s">
        <v>498</v>
      </c>
      <c r="B39" s="18" t="s">
        <v>2344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2519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2523</v>
      </c>
    </row>
    <row r="5" ht="18.0" customHeight="1">
      <c r="A5" s="17" t="s">
        <v>413</v>
      </c>
      <c r="B5" s="18" t="s">
        <v>1784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2524</v>
      </c>
    </row>
    <row r="11" ht="18.0" customHeight="1">
      <c r="A11" s="17" t="s">
        <v>428</v>
      </c>
      <c r="B11" s="18" t="s">
        <v>1735</v>
      </c>
    </row>
    <row r="12" ht="18.0" customHeight="1">
      <c r="A12" s="15" t="s">
        <v>430</v>
      </c>
      <c r="B12" s="16" t="s">
        <v>2480</v>
      </c>
    </row>
    <row r="13" ht="18.0" customHeight="1">
      <c r="A13" s="17" t="s">
        <v>433</v>
      </c>
      <c r="B13" s="18" t="s">
        <v>2415</v>
      </c>
    </row>
    <row r="14" ht="18.0" customHeight="1">
      <c r="A14" s="15" t="s">
        <v>435</v>
      </c>
      <c r="B14" s="16" t="s">
        <v>2481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75.0" customHeight="1">
      <c r="A18" s="15" t="s">
        <v>2525</v>
      </c>
      <c r="B18" s="16" t="s">
        <v>2526</v>
      </c>
    </row>
    <row r="19" ht="75.0" customHeight="1">
      <c r="A19" s="17" t="s">
        <v>2527</v>
      </c>
      <c r="B19" s="18" t="s">
        <v>2528</v>
      </c>
    </row>
    <row r="20" ht="60.0" customHeight="1">
      <c r="A20" s="15" t="s">
        <v>2529</v>
      </c>
      <c r="B20" s="16" t="s">
        <v>2530</v>
      </c>
    </row>
    <row r="21" ht="45.0" customHeight="1">
      <c r="A21" s="17" t="s">
        <v>2531</v>
      </c>
      <c r="B21" s="18" t="s">
        <v>2532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2533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2534</v>
      </c>
    </row>
    <row r="28" ht="18.0" customHeight="1">
      <c r="A28" s="15" t="s">
        <v>471</v>
      </c>
      <c r="B28" s="16" t="s">
        <v>2535</v>
      </c>
    </row>
    <row r="29" ht="18.0" customHeight="1">
      <c r="A29" s="17" t="s">
        <v>473</v>
      </c>
      <c r="B29" s="18" t="s">
        <v>2536</v>
      </c>
    </row>
    <row r="30" ht="18.0" customHeight="1">
      <c r="A30" s="15" t="s">
        <v>475</v>
      </c>
      <c r="B30" s="16" t="s">
        <v>2537</v>
      </c>
    </row>
    <row r="31" ht="18.0" customHeight="1">
      <c r="A31" s="17" t="s">
        <v>477</v>
      </c>
      <c r="B31" s="18" t="s">
        <v>2538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2539</v>
      </c>
    </row>
    <row r="36" ht="18.0" customHeight="1">
      <c r="A36" s="15" t="s">
        <v>489</v>
      </c>
      <c r="B36" s="16" t="s">
        <v>2540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2541</v>
      </c>
    </row>
    <row r="39" ht="18.0" customHeight="1">
      <c r="A39" s="17" t="s">
        <v>498</v>
      </c>
      <c r="B39" s="18" t="s">
        <v>2542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2543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2544</v>
      </c>
    </row>
    <row r="5" ht="18.0" customHeight="1">
      <c r="A5" s="17" t="s">
        <v>413</v>
      </c>
      <c r="B5" s="18" t="s">
        <v>2545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1393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2546</v>
      </c>
    </row>
    <row r="11" ht="18.0" customHeight="1">
      <c r="A11" s="17" t="s">
        <v>428</v>
      </c>
      <c r="B11" s="18" t="s">
        <v>1987</v>
      </c>
    </row>
    <row r="12" ht="18.0" customHeight="1">
      <c r="A12" s="15" t="s">
        <v>430</v>
      </c>
      <c r="B12" s="16" t="s">
        <v>1736</v>
      </c>
    </row>
    <row r="13" ht="18.0" customHeight="1">
      <c r="A13" s="17" t="s">
        <v>433</v>
      </c>
      <c r="B13" s="18" t="s">
        <v>2415</v>
      </c>
    </row>
    <row r="14" ht="18.0" customHeight="1">
      <c r="A14" s="15" t="s">
        <v>435</v>
      </c>
      <c r="B14" s="16" t="s">
        <v>2349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60.0" customHeight="1">
      <c r="A18" s="15" t="s">
        <v>2547</v>
      </c>
      <c r="B18" s="16" t="s">
        <v>2548</v>
      </c>
    </row>
    <row r="19" ht="75.0" customHeight="1">
      <c r="A19" s="17" t="s">
        <v>2549</v>
      </c>
      <c r="B19" s="18" t="s">
        <v>2550</v>
      </c>
    </row>
    <row r="20" ht="45.0" customHeight="1">
      <c r="A20" s="15" t="s">
        <v>2551</v>
      </c>
      <c r="B20" s="16" t="s">
        <v>2552</v>
      </c>
    </row>
    <row r="21" ht="30.0" customHeight="1">
      <c r="A21" s="17" t="s">
        <v>2553</v>
      </c>
      <c r="B21" s="18" t="s">
        <v>2554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2555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2556</v>
      </c>
    </row>
    <row r="28" ht="18.0" customHeight="1">
      <c r="A28" s="15" t="s">
        <v>471</v>
      </c>
      <c r="B28" s="16" t="s">
        <v>2557</v>
      </c>
    </row>
    <row r="29" ht="18.0" customHeight="1">
      <c r="A29" s="17" t="s">
        <v>473</v>
      </c>
      <c r="B29" s="18" t="s">
        <v>2558</v>
      </c>
    </row>
    <row r="30" ht="18.0" customHeight="1">
      <c r="A30" s="15" t="s">
        <v>475</v>
      </c>
      <c r="B30" s="16" t="s">
        <v>2559</v>
      </c>
    </row>
    <row r="31" ht="18.0" customHeight="1">
      <c r="A31" s="17" t="s">
        <v>477</v>
      </c>
      <c r="B31" s="18" t="s">
        <v>2518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2560</v>
      </c>
    </row>
    <row r="36" ht="18.0" customHeight="1">
      <c r="A36" s="15" t="s">
        <v>489</v>
      </c>
      <c r="B36" s="16" t="s">
        <v>2561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2562</v>
      </c>
    </row>
    <row r="39" ht="18.0" customHeight="1">
      <c r="A39" s="17" t="s">
        <v>498</v>
      </c>
      <c r="B39" s="18" t="s">
        <v>2563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2564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2566</v>
      </c>
    </row>
    <row r="5" ht="18.0" customHeight="1">
      <c r="A5" s="17" t="s">
        <v>413</v>
      </c>
      <c r="B5" s="18" t="s">
        <v>2567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2569</v>
      </c>
    </row>
    <row r="11" ht="18.0" customHeight="1">
      <c r="A11" s="17" t="s">
        <v>428</v>
      </c>
      <c r="B11" s="18" t="s">
        <v>2570</v>
      </c>
    </row>
    <row r="12" ht="18.0" customHeight="1">
      <c r="A12" s="15" t="s">
        <v>430</v>
      </c>
      <c r="B12" s="16" t="s">
        <v>2054</v>
      </c>
    </row>
    <row r="13" ht="18.0" customHeight="1">
      <c r="A13" s="17" t="s">
        <v>433</v>
      </c>
      <c r="B13" s="18" t="s">
        <v>1913</v>
      </c>
    </row>
    <row r="14" ht="18.0" customHeight="1">
      <c r="A14" s="15" t="s">
        <v>435</v>
      </c>
      <c r="B14" s="16" t="s">
        <v>1406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2573</v>
      </c>
      <c r="B18" s="16" t="s">
        <v>2575</v>
      </c>
    </row>
    <row r="19" ht="75.0" customHeight="1">
      <c r="A19" s="17" t="s">
        <v>2576</v>
      </c>
      <c r="B19" s="18" t="s">
        <v>2578</v>
      </c>
    </row>
    <row r="20" ht="45.0" customHeight="1">
      <c r="A20" s="15" t="s">
        <v>2579</v>
      </c>
      <c r="B20" s="16" t="s">
        <v>2580</v>
      </c>
    </row>
    <row r="21" ht="60.0" customHeight="1">
      <c r="A21" s="17" t="s">
        <v>2581</v>
      </c>
      <c r="B21" s="18" t="s">
        <v>2582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2584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2588</v>
      </c>
    </row>
    <row r="28" ht="18.0" customHeight="1">
      <c r="A28" s="15" t="s">
        <v>471</v>
      </c>
      <c r="B28" s="16" t="s">
        <v>2590</v>
      </c>
    </row>
    <row r="29" ht="18.0" customHeight="1">
      <c r="A29" s="17" t="s">
        <v>473</v>
      </c>
      <c r="B29" s="18" t="s">
        <v>2593</v>
      </c>
    </row>
    <row r="30" ht="18.0" customHeight="1">
      <c r="A30" s="15" t="s">
        <v>475</v>
      </c>
      <c r="B30" s="16" t="s">
        <v>2595</v>
      </c>
    </row>
    <row r="31" ht="18.0" customHeight="1">
      <c r="A31" s="17" t="s">
        <v>477</v>
      </c>
      <c r="B31" s="18" t="s">
        <v>2596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2598</v>
      </c>
    </row>
    <row r="36" ht="18.0" customHeight="1">
      <c r="A36" s="15" t="s">
        <v>489</v>
      </c>
      <c r="B36" s="16" t="s">
        <v>2600</v>
      </c>
    </row>
    <row r="37" ht="18.0" customHeight="1">
      <c r="A37" s="17" t="s">
        <v>491</v>
      </c>
      <c r="B37" s="18" t="s">
        <v>763</v>
      </c>
    </row>
    <row r="38" ht="18.0" customHeight="1">
      <c r="A38" s="15" t="s">
        <v>493</v>
      </c>
      <c r="B38" s="16" t="s">
        <v>764</v>
      </c>
    </row>
    <row r="39" ht="18.0" customHeight="1">
      <c r="A39" s="17" t="s">
        <v>498</v>
      </c>
      <c r="B39" s="18" t="s">
        <v>2605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2565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2568</v>
      </c>
    </row>
    <row r="5" ht="18.0" customHeight="1">
      <c r="A5" s="17" t="s">
        <v>413</v>
      </c>
      <c r="B5" s="18" t="s">
        <v>1733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2571</v>
      </c>
    </row>
    <row r="11" ht="18.0" customHeight="1">
      <c r="A11" s="17" t="s">
        <v>428</v>
      </c>
      <c r="B11" s="18" t="s">
        <v>2572</v>
      </c>
    </row>
    <row r="12" ht="18.0" customHeight="1">
      <c r="A12" s="15" t="s">
        <v>430</v>
      </c>
      <c r="B12" s="16" t="s">
        <v>2574</v>
      </c>
    </row>
    <row r="13" ht="18.0" customHeight="1">
      <c r="A13" s="17" t="s">
        <v>433</v>
      </c>
      <c r="B13" s="18" t="s">
        <v>2577</v>
      </c>
    </row>
    <row r="14" ht="18.0" customHeight="1">
      <c r="A14" s="15" t="s">
        <v>435</v>
      </c>
      <c r="B14" s="16" t="s">
        <v>2396</v>
      </c>
    </row>
    <row r="15" ht="18.0" customHeight="1">
      <c r="A15" s="17" t="s">
        <v>437</v>
      </c>
      <c r="B15" s="18" t="s">
        <v>1852</v>
      </c>
    </row>
    <row r="17" ht="19.5" customHeight="1">
      <c r="A17" s="13" t="s">
        <v>441</v>
      </c>
      <c r="B17" s="14"/>
    </row>
    <row r="18" ht="60.0" customHeight="1">
      <c r="A18" s="15" t="s">
        <v>2583</v>
      </c>
      <c r="B18" s="16" t="s">
        <v>2585</v>
      </c>
    </row>
    <row r="19" ht="60.0" customHeight="1">
      <c r="A19" s="17" t="s">
        <v>2586</v>
      </c>
      <c r="B19" s="18" t="s">
        <v>2587</v>
      </c>
    </row>
    <row r="20" ht="60.0" customHeight="1">
      <c r="A20" s="15" t="s">
        <v>1745</v>
      </c>
      <c r="B20" s="16" t="s">
        <v>2589</v>
      </c>
    </row>
    <row r="21" ht="30.0" customHeight="1">
      <c r="A21" s="17" t="s">
        <v>2591</v>
      </c>
      <c r="B21" s="18" t="s">
        <v>2592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2597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2599</v>
      </c>
    </row>
    <row r="28" ht="18.0" customHeight="1">
      <c r="A28" s="15" t="s">
        <v>471</v>
      </c>
      <c r="B28" s="16" t="s">
        <v>2601</v>
      </c>
    </row>
    <row r="29" ht="18.0" customHeight="1">
      <c r="A29" s="17" t="s">
        <v>473</v>
      </c>
      <c r="B29" s="18" t="s">
        <v>2603</v>
      </c>
    </row>
    <row r="30" ht="18.0" customHeight="1">
      <c r="A30" s="15" t="s">
        <v>475</v>
      </c>
      <c r="B30" s="16" t="s">
        <v>2604</v>
      </c>
    </row>
    <row r="31" ht="18.0" customHeight="1">
      <c r="A31" s="17" t="s">
        <v>477</v>
      </c>
      <c r="B31" s="18" t="s">
        <v>2607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2609</v>
      </c>
    </row>
    <row r="36" ht="18.0" customHeight="1">
      <c r="A36" s="15" t="s">
        <v>489</v>
      </c>
      <c r="B36" s="16" t="s">
        <v>2610</v>
      </c>
    </row>
    <row r="37" ht="18.0" customHeight="1">
      <c r="A37" s="17" t="s">
        <v>491</v>
      </c>
      <c r="B37" s="18" t="s">
        <v>2417</v>
      </c>
    </row>
    <row r="38" ht="18.0" customHeight="1">
      <c r="A38" s="15" t="s">
        <v>493</v>
      </c>
      <c r="B38" s="16" t="s">
        <v>688</v>
      </c>
    </row>
    <row r="39" ht="18.0" customHeight="1">
      <c r="A39" s="17" t="s">
        <v>498</v>
      </c>
      <c r="B39" s="18" t="s">
        <v>926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2594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2602</v>
      </c>
    </row>
    <row r="5" ht="18.0" customHeight="1">
      <c r="A5" s="17" t="s">
        <v>413</v>
      </c>
      <c r="B5" s="18" t="s">
        <v>2606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2608</v>
      </c>
    </row>
    <row r="11" ht="18.0" customHeight="1">
      <c r="A11" s="17" t="s">
        <v>428</v>
      </c>
      <c r="B11" s="18" t="s">
        <v>2495</v>
      </c>
    </row>
    <row r="12" ht="18.0" customHeight="1">
      <c r="A12" s="15" t="s">
        <v>430</v>
      </c>
      <c r="B12" s="16" t="s">
        <v>2611</v>
      </c>
    </row>
    <row r="13" ht="18.0" customHeight="1">
      <c r="A13" s="17" t="s">
        <v>433</v>
      </c>
      <c r="B13" s="18" t="s">
        <v>2612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2032</v>
      </c>
      <c r="B18" s="16" t="s">
        <v>2613</v>
      </c>
    </row>
    <row r="19" ht="90.0" customHeight="1">
      <c r="A19" s="17" t="s">
        <v>2614</v>
      </c>
      <c r="B19" s="18" t="s">
        <v>2615</v>
      </c>
    </row>
    <row r="20" ht="60.0" customHeight="1">
      <c r="A20" s="15" t="s">
        <v>2616</v>
      </c>
      <c r="B20" s="16" t="s">
        <v>2617</v>
      </c>
    </row>
    <row r="21" ht="45.0" customHeight="1">
      <c r="A21" s="17" t="s">
        <v>2618</v>
      </c>
      <c r="B21" s="18" t="s">
        <v>2619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2620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2621</v>
      </c>
    </row>
    <row r="28" ht="18.0" customHeight="1">
      <c r="A28" s="15" t="s">
        <v>471</v>
      </c>
      <c r="B28" s="16" t="s">
        <v>2622</v>
      </c>
    </row>
    <row r="29" ht="18.0" customHeight="1">
      <c r="A29" s="17" t="s">
        <v>473</v>
      </c>
      <c r="B29" s="18" t="s">
        <v>2623</v>
      </c>
    </row>
    <row r="30" ht="18.0" customHeight="1">
      <c r="A30" s="15" t="s">
        <v>475</v>
      </c>
      <c r="B30" s="16" t="s">
        <v>2624</v>
      </c>
    </row>
    <row r="31" ht="18.0" customHeight="1">
      <c r="A31" s="17" t="s">
        <v>477</v>
      </c>
      <c r="B31" s="18" t="s">
        <v>2470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2626</v>
      </c>
    </row>
    <row r="36" ht="18.0" customHeight="1">
      <c r="A36" s="15" t="s">
        <v>489</v>
      </c>
      <c r="B36" s="16" t="s">
        <v>2627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501</v>
      </c>
    </row>
    <row r="39" ht="18.0" customHeight="1">
      <c r="A39" s="17" t="s">
        <v>498</v>
      </c>
      <c r="B39" s="18" t="s">
        <v>2628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2625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2629</v>
      </c>
    </row>
    <row r="5" ht="18.0" customHeight="1">
      <c r="A5" s="17" t="s">
        <v>413</v>
      </c>
      <c r="B5" s="18" t="s">
        <v>1985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2630</v>
      </c>
    </row>
    <row r="11" ht="18.0" customHeight="1">
      <c r="A11" s="17" t="s">
        <v>428</v>
      </c>
      <c r="B11" s="18" t="s">
        <v>2007</v>
      </c>
    </row>
    <row r="12" ht="18.0" customHeight="1">
      <c r="A12" s="15" t="s">
        <v>430</v>
      </c>
      <c r="B12" s="16" t="s">
        <v>2480</v>
      </c>
    </row>
    <row r="13" ht="18.0" customHeight="1">
      <c r="A13" s="17" t="s">
        <v>433</v>
      </c>
      <c r="B13" s="18" t="s">
        <v>2631</v>
      </c>
    </row>
    <row r="14" ht="18.0" customHeight="1">
      <c r="A14" s="15" t="s">
        <v>435</v>
      </c>
      <c r="B14" s="16" t="s">
        <v>1069</v>
      </c>
    </row>
    <row r="15" ht="18.0" customHeight="1">
      <c r="A15" s="17" t="s">
        <v>437</v>
      </c>
      <c r="B15" s="18" t="s">
        <v>439</v>
      </c>
    </row>
    <row r="17" ht="19.5" customHeight="1">
      <c r="A17" s="13" t="s">
        <v>441</v>
      </c>
      <c r="B17" s="14"/>
    </row>
    <row r="18" ht="60.0" customHeight="1">
      <c r="A18" s="15" t="s">
        <v>1321</v>
      </c>
      <c r="B18" s="16" t="s">
        <v>2632</v>
      </c>
    </row>
    <row r="19" ht="75.0" customHeight="1">
      <c r="A19" s="17" t="s">
        <v>2633</v>
      </c>
      <c r="B19" s="18" t="s">
        <v>2634</v>
      </c>
    </row>
    <row r="20" ht="75.0" customHeight="1">
      <c r="A20" s="15" t="s">
        <v>2635</v>
      </c>
      <c r="B20" s="16" t="s">
        <v>2636</v>
      </c>
    </row>
    <row r="21" ht="45.0" customHeight="1">
      <c r="A21" s="17" t="s">
        <v>2637</v>
      </c>
      <c r="B21" s="18" t="s">
        <v>2638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2639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2640</v>
      </c>
    </row>
    <row r="28" ht="18.0" customHeight="1">
      <c r="A28" s="15" t="s">
        <v>471</v>
      </c>
      <c r="B28" s="16" t="s">
        <v>2641</v>
      </c>
    </row>
    <row r="29" ht="18.0" customHeight="1">
      <c r="A29" s="17" t="s">
        <v>473</v>
      </c>
      <c r="B29" s="18" t="s">
        <v>2642</v>
      </c>
    </row>
    <row r="30" ht="18.0" customHeight="1">
      <c r="A30" s="15" t="s">
        <v>475</v>
      </c>
      <c r="B30" s="16" t="s">
        <v>2643</v>
      </c>
    </row>
    <row r="31" ht="18.0" customHeight="1">
      <c r="A31" s="17" t="s">
        <v>477</v>
      </c>
      <c r="B31" s="18" t="s">
        <v>2538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2644</v>
      </c>
    </row>
    <row r="36" ht="18.0" customHeight="1">
      <c r="A36" s="15" t="s">
        <v>489</v>
      </c>
      <c r="B36" s="16" t="s">
        <v>2645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970</v>
      </c>
    </row>
    <row r="39" ht="18.0" customHeight="1">
      <c r="A39" s="17" t="s">
        <v>498</v>
      </c>
      <c r="B39" s="18" t="s">
        <v>1200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2646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2647</v>
      </c>
    </row>
    <row r="5" ht="18.0" customHeight="1">
      <c r="A5" s="17" t="s">
        <v>413</v>
      </c>
      <c r="B5" s="18" t="s">
        <v>2648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547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2650</v>
      </c>
    </row>
    <row r="11" ht="18.0" customHeight="1">
      <c r="A11" s="17" t="s">
        <v>428</v>
      </c>
      <c r="B11" s="18" t="s">
        <v>1929</v>
      </c>
    </row>
    <row r="12" ht="18.0" customHeight="1">
      <c r="A12" s="15" t="s">
        <v>430</v>
      </c>
      <c r="B12" s="16" t="s">
        <v>2199</v>
      </c>
    </row>
    <row r="13" ht="18.0" customHeight="1">
      <c r="A13" s="17" t="s">
        <v>433</v>
      </c>
      <c r="B13" s="18" t="s">
        <v>2373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75.0" customHeight="1">
      <c r="A18" s="15" t="s">
        <v>2657</v>
      </c>
      <c r="B18" s="16" t="s">
        <v>2659</v>
      </c>
    </row>
    <row r="19" ht="60.0" customHeight="1">
      <c r="A19" s="17" t="s">
        <v>2660</v>
      </c>
      <c r="B19" s="18" t="s">
        <v>2661</v>
      </c>
    </row>
    <row r="20" ht="45.0" customHeight="1">
      <c r="A20" s="15" t="s">
        <v>2662</v>
      </c>
      <c r="B20" s="16" t="s">
        <v>2663</v>
      </c>
    </row>
    <row r="21" ht="45.0" customHeight="1">
      <c r="A21" s="17" t="s">
        <v>2664</v>
      </c>
      <c r="B21" s="18" t="s">
        <v>2665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2672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2675</v>
      </c>
    </row>
    <row r="28" ht="18.0" customHeight="1">
      <c r="A28" s="15" t="s">
        <v>471</v>
      </c>
      <c r="B28" s="16" t="s">
        <v>2678</v>
      </c>
    </row>
    <row r="29" ht="18.0" customHeight="1">
      <c r="A29" s="17" t="s">
        <v>473</v>
      </c>
      <c r="B29" s="18" t="s">
        <v>2681</v>
      </c>
    </row>
    <row r="30" ht="18.0" customHeight="1">
      <c r="A30" s="15" t="s">
        <v>475</v>
      </c>
      <c r="B30" s="16" t="s">
        <v>2685</v>
      </c>
    </row>
    <row r="31" ht="18.0" customHeight="1">
      <c r="A31" s="17" t="s">
        <v>477</v>
      </c>
      <c r="B31" s="18" t="s">
        <v>2538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2692</v>
      </c>
    </row>
    <row r="36" ht="18.0" customHeight="1">
      <c r="A36" s="15" t="s">
        <v>489</v>
      </c>
      <c r="B36" s="16" t="s">
        <v>2696</v>
      </c>
    </row>
    <row r="37" ht="18.0" customHeight="1">
      <c r="A37" s="17" t="s">
        <v>491</v>
      </c>
      <c r="B37" s="18" t="s">
        <v>1052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2699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2649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2651</v>
      </c>
    </row>
    <row r="5" ht="18.0" customHeight="1">
      <c r="A5" s="17" t="s">
        <v>413</v>
      </c>
      <c r="B5" s="18" t="s">
        <v>2652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2653</v>
      </c>
    </row>
    <row r="11" ht="18.0" customHeight="1">
      <c r="A11" s="17" t="s">
        <v>428</v>
      </c>
      <c r="B11" s="18" t="s">
        <v>2654</v>
      </c>
    </row>
    <row r="12" ht="18.0" customHeight="1">
      <c r="A12" s="15" t="s">
        <v>430</v>
      </c>
      <c r="B12" s="16" t="s">
        <v>2656</v>
      </c>
    </row>
    <row r="13" ht="18.0" customHeight="1">
      <c r="A13" s="17" t="s">
        <v>433</v>
      </c>
      <c r="B13" s="18" t="s">
        <v>2658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90.0" customHeight="1">
      <c r="A18" s="15" t="s">
        <v>2108</v>
      </c>
      <c r="B18" s="16" t="s">
        <v>2667</v>
      </c>
    </row>
    <row r="19" ht="75.0" customHeight="1">
      <c r="A19" s="17" t="s">
        <v>1261</v>
      </c>
      <c r="B19" s="18" t="s">
        <v>2668</v>
      </c>
    </row>
    <row r="20" ht="75.0" customHeight="1">
      <c r="A20" s="15" t="s">
        <v>2670</v>
      </c>
      <c r="B20" s="16" t="s">
        <v>2671</v>
      </c>
    </row>
    <row r="21" ht="60.0" customHeight="1">
      <c r="A21" s="17" t="s">
        <v>2673</v>
      </c>
      <c r="B21" s="18" t="s">
        <v>2674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2676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2682</v>
      </c>
    </row>
    <row r="28" ht="18.0" customHeight="1">
      <c r="A28" s="15" t="s">
        <v>471</v>
      </c>
      <c r="B28" s="16" t="s">
        <v>2684</v>
      </c>
    </row>
    <row r="29" ht="18.0" customHeight="1">
      <c r="A29" s="17" t="s">
        <v>473</v>
      </c>
      <c r="B29" s="18" t="s">
        <v>2686</v>
      </c>
    </row>
    <row r="30" ht="18.0" customHeight="1">
      <c r="A30" s="15" t="s">
        <v>475</v>
      </c>
      <c r="B30" s="16" t="s">
        <v>2687</v>
      </c>
    </row>
    <row r="31" ht="18.0" customHeight="1">
      <c r="A31" s="17" t="s">
        <v>477</v>
      </c>
      <c r="B31" s="18" t="s">
        <v>758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2695</v>
      </c>
    </row>
    <row r="36" ht="18.0" customHeight="1">
      <c r="A36" s="15" t="s">
        <v>489</v>
      </c>
      <c r="B36" s="16" t="s">
        <v>2697</v>
      </c>
    </row>
    <row r="37" ht="18.0" customHeight="1">
      <c r="A37" s="17" t="s">
        <v>491</v>
      </c>
      <c r="B37" s="18" t="s">
        <v>763</v>
      </c>
    </row>
    <row r="38" ht="18.0" customHeight="1">
      <c r="A38" s="15" t="s">
        <v>493</v>
      </c>
      <c r="B38" s="16" t="s">
        <v>764</v>
      </c>
    </row>
    <row r="39" ht="18.0" customHeight="1">
      <c r="A39" s="17" t="s">
        <v>498</v>
      </c>
      <c r="B39" s="18" t="s">
        <v>2700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2655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2666</v>
      </c>
    </row>
    <row r="5" ht="18.0" customHeight="1">
      <c r="A5" s="17" t="s">
        <v>413</v>
      </c>
      <c r="B5" s="18" t="s">
        <v>2669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2677</v>
      </c>
    </row>
    <row r="11" ht="18.0" customHeight="1">
      <c r="A11" s="17" t="s">
        <v>428</v>
      </c>
      <c r="B11" s="18" t="s">
        <v>2679</v>
      </c>
    </row>
    <row r="12" ht="18.0" customHeight="1">
      <c r="A12" s="15" t="s">
        <v>430</v>
      </c>
      <c r="B12" s="16" t="s">
        <v>2680</v>
      </c>
    </row>
    <row r="13" ht="18.0" customHeight="1">
      <c r="A13" s="17" t="s">
        <v>433</v>
      </c>
      <c r="B13" s="18" t="s">
        <v>2683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1321</v>
      </c>
      <c r="B18" s="16" t="s">
        <v>2688</v>
      </c>
    </row>
    <row r="19" ht="60.0" customHeight="1">
      <c r="A19" s="17" t="s">
        <v>2689</v>
      </c>
      <c r="B19" s="18" t="s">
        <v>2690</v>
      </c>
    </row>
    <row r="20" ht="60.0" customHeight="1">
      <c r="A20" s="15" t="s">
        <v>2633</v>
      </c>
      <c r="B20" s="16" t="s">
        <v>2691</v>
      </c>
    </row>
    <row r="21" ht="45.0" customHeight="1">
      <c r="A21" s="17" t="s">
        <v>2693</v>
      </c>
      <c r="B21" s="18" t="s">
        <v>2694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2698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2702</v>
      </c>
    </row>
    <row r="28" ht="18.0" customHeight="1">
      <c r="A28" s="15" t="s">
        <v>471</v>
      </c>
      <c r="B28" s="16" t="s">
        <v>2703</v>
      </c>
    </row>
    <row r="29" ht="18.0" customHeight="1">
      <c r="A29" s="17" t="s">
        <v>473</v>
      </c>
      <c r="B29" s="18" t="s">
        <v>2704</v>
      </c>
    </row>
    <row r="30" ht="18.0" customHeight="1">
      <c r="A30" s="15" t="s">
        <v>475</v>
      </c>
      <c r="B30" s="16" t="s">
        <v>2705</v>
      </c>
    </row>
    <row r="31" ht="18.0" customHeight="1">
      <c r="A31" s="17" t="s">
        <v>477</v>
      </c>
      <c r="B31" s="18" t="s">
        <v>1610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2706</v>
      </c>
    </row>
    <row r="36" ht="18.0" customHeight="1">
      <c r="A36" s="15" t="s">
        <v>489</v>
      </c>
      <c r="B36" s="16" t="s">
        <v>2707</v>
      </c>
    </row>
    <row r="37" ht="18.0" customHeight="1">
      <c r="A37" s="17" t="s">
        <v>491</v>
      </c>
      <c r="B37" s="18" t="s">
        <v>2708</v>
      </c>
    </row>
    <row r="38" ht="18.0" customHeight="1">
      <c r="A38" s="15" t="s">
        <v>493</v>
      </c>
      <c r="B38" s="16" t="s">
        <v>1783</v>
      </c>
    </row>
    <row r="39" ht="18.0" customHeight="1">
      <c r="A39" s="17" t="s">
        <v>498</v>
      </c>
      <c r="B39" s="18" t="s">
        <v>808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2701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2709</v>
      </c>
    </row>
    <row r="5" ht="18.0" customHeight="1">
      <c r="A5" s="17" t="s">
        <v>413</v>
      </c>
      <c r="B5" s="18" t="s">
        <v>2710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2711</v>
      </c>
    </row>
    <row r="11" ht="18.0" customHeight="1">
      <c r="A11" s="17" t="s">
        <v>428</v>
      </c>
      <c r="B11" s="18" t="s">
        <v>2712</v>
      </c>
    </row>
    <row r="12" ht="18.0" customHeight="1">
      <c r="A12" s="15" t="s">
        <v>430</v>
      </c>
      <c r="B12" s="16" t="s">
        <v>2713</v>
      </c>
    </row>
    <row r="13" ht="18.0" customHeight="1">
      <c r="A13" s="17" t="s">
        <v>433</v>
      </c>
      <c r="B13" s="18" t="s">
        <v>2714</v>
      </c>
    </row>
    <row r="14" ht="18.0" customHeight="1">
      <c r="A14" s="15" t="s">
        <v>435</v>
      </c>
      <c r="B14" s="16" t="s">
        <v>1933</v>
      </c>
    </row>
    <row r="15" ht="18.0" customHeight="1">
      <c r="A15" s="17" t="s">
        <v>437</v>
      </c>
      <c r="B15" s="18" t="s">
        <v>1935</v>
      </c>
    </row>
    <row r="17" ht="19.5" customHeight="1">
      <c r="A17" s="13" t="s">
        <v>441</v>
      </c>
      <c r="B17" s="14"/>
    </row>
    <row r="18" ht="105.0" customHeight="1">
      <c r="A18" s="15" t="s">
        <v>1282</v>
      </c>
      <c r="B18" s="16" t="s">
        <v>2715</v>
      </c>
    </row>
    <row r="19" ht="75.0" customHeight="1">
      <c r="A19" s="17" t="s">
        <v>2716</v>
      </c>
      <c r="B19" s="18" t="s">
        <v>2717</v>
      </c>
    </row>
    <row r="20" ht="75.0" customHeight="1">
      <c r="A20" s="15" t="s">
        <v>2718</v>
      </c>
      <c r="B20" s="16" t="s">
        <v>2719</v>
      </c>
    </row>
    <row r="21" ht="45.0" customHeight="1">
      <c r="A21" s="17" t="s">
        <v>2720</v>
      </c>
      <c r="B21" s="18" t="s">
        <v>2721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2722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2723</v>
      </c>
    </row>
    <row r="28" ht="18.0" customHeight="1">
      <c r="A28" s="15" t="s">
        <v>471</v>
      </c>
      <c r="B28" s="16" t="s">
        <v>2724</v>
      </c>
    </row>
    <row r="29" ht="18.0" customHeight="1">
      <c r="A29" s="17" t="s">
        <v>473</v>
      </c>
      <c r="B29" s="18" t="s">
        <v>2725</v>
      </c>
    </row>
    <row r="30" ht="18.0" customHeight="1">
      <c r="A30" s="15" t="s">
        <v>475</v>
      </c>
      <c r="B30" s="16" t="s">
        <v>2726</v>
      </c>
    </row>
    <row r="31" ht="18.0" customHeight="1">
      <c r="A31" s="17" t="s">
        <v>477</v>
      </c>
      <c r="B31" s="18" t="s">
        <v>2727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2728</v>
      </c>
    </row>
    <row r="36" ht="18.0" customHeight="1">
      <c r="A36" s="15" t="s">
        <v>489</v>
      </c>
      <c r="B36" s="16" t="s">
        <v>2729</v>
      </c>
    </row>
    <row r="37" ht="18.0" customHeight="1">
      <c r="A37" s="17" t="s">
        <v>491</v>
      </c>
      <c r="B37" s="18" t="s">
        <v>1298</v>
      </c>
    </row>
    <row r="38" ht="18.0" customHeight="1">
      <c r="A38" s="15" t="s">
        <v>493</v>
      </c>
      <c r="B38" s="16" t="s">
        <v>528</v>
      </c>
    </row>
    <row r="39" ht="18.0" customHeight="1">
      <c r="A39" s="17" t="s">
        <v>498</v>
      </c>
      <c r="B39" s="18" t="s">
        <v>2730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2731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2732</v>
      </c>
    </row>
    <row r="5" ht="18.0" customHeight="1">
      <c r="A5" s="17" t="s">
        <v>413</v>
      </c>
      <c r="B5" s="18" t="s">
        <v>1784</v>
      </c>
    </row>
    <row r="6" ht="18.0" customHeight="1">
      <c r="A6" s="15" t="s">
        <v>416</v>
      </c>
      <c r="B6" s="16" t="s">
        <v>1668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2733</v>
      </c>
    </row>
    <row r="11" ht="18.0" customHeight="1">
      <c r="A11" s="17" t="s">
        <v>428</v>
      </c>
      <c r="B11" s="18" t="s">
        <v>2735</v>
      </c>
    </row>
    <row r="12" ht="18.0" customHeight="1">
      <c r="A12" s="15" t="s">
        <v>430</v>
      </c>
      <c r="B12" s="16" t="s">
        <v>2736</v>
      </c>
    </row>
    <row r="13" ht="18.0" customHeight="1">
      <c r="A13" s="17" t="s">
        <v>433</v>
      </c>
      <c r="B13" s="18" t="s">
        <v>2737</v>
      </c>
    </row>
    <row r="14" ht="18.0" customHeight="1">
      <c r="A14" s="15" t="s">
        <v>435</v>
      </c>
      <c r="B14" s="16" t="s">
        <v>1753</v>
      </c>
    </row>
    <row r="15" ht="18.0" customHeight="1">
      <c r="A15" s="17" t="s">
        <v>437</v>
      </c>
      <c r="B15" s="18" t="s">
        <v>1754</v>
      </c>
    </row>
    <row r="17" ht="19.5" customHeight="1">
      <c r="A17" s="13" t="s">
        <v>441</v>
      </c>
      <c r="B17" s="14"/>
    </row>
    <row r="18" ht="90.0" customHeight="1">
      <c r="A18" s="15" t="s">
        <v>2739</v>
      </c>
      <c r="B18" s="16" t="s">
        <v>2740</v>
      </c>
    </row>
    <row r="19" ht="75.0" customHeight="1">
      <c r="A19" s="17" t="s">
        <v>1792</v>
      </c>
      <c r="B19" s="18" t="s">
        <v>2742</v>
      </c>
    </row>
    <row r="20" ht="60.0" customHeight="1">
      <c r="A20" s="15" t="s">
        <v>2744</v>
      </c>
      <c r="B20" s="16" t="s">
        <v>2745</v>
      </c>
    </row>
    <row r="21" ht="60.0" customHeight="1">
      <c r="A21" s="17" t="s">
        <v>2746</v>
      </c>
      <c r="B21" s="18" t="s">
        <v>2747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2749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2753</v>
      </c>
    </row>
    <row r="28" ht="18.0" customHeight="1">
      <c r="A28" s="15" t="s">
        <v>471</v>
      </c>
      <c r="B28" s="16" t="s">
        <v>2755</v>
      </c>
    </row>
    <row r="29" ht="18.0" customHeight="1">
      <c r="A29" s="17" t="s">
        <v>473</v>
      </c>
      <c r="B29" s="18" t="s">
        <v>2757</v>
      </c>
    </row>
    <row r="30" ht="18.0" customHeight="1">
      <c r="A30" s="15" t="s">
        <v>475</v>
      </c>
      <c r="B30" s="16" t="s">
        <v>2758</v>
      </c>
    </row>
    <row r="31" ht="18.0" customHeight="1">
      <c r="A31" s="17" t="s">
        <v>477</v>
      </c>
      <c r="B31" s="18" t="s">
        <v>2759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2764</v>
      </c>
    </row>
    <row r="36" ht="18.0" customHeight="1">
      <c r="A36" s="15" t="s">
        <v>489</v>
      </c>
      <c r="B36" s="16" t="s">
        <v>2767</v>
      </c>
    </row>
    <row r="37" ht="18.0" customHeight="1">
      <c r="A37" s="17" t="s">
        <v>491</v>
      </c>
      <c r="B37" s="18" t="s">
        <v>1728</v>
      </c>
    </row>
    <row r="38" ht="18.0" customHeight="1">
      <c r="A38" s="15" t="s">
        <v>493</v>
      </c>
      <c r="B38" s="16" t="s">
        <v>2541</v>
      </c>
    </row>
    <row r="39" ht="18.0" customHeight="1">
      <c r="A39" s="17" t="s">
        <v>498</v>
      </c>
      <c r="B39" s="18" t="s">
        <v>2542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2734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2738</v>
      </c>
    </row>
    <row r="5" ht="18.0" customHeight="1">
      <c r="A5" s="17" t="s">
        <v>413</v>
      </c>
      <c r="B5" s="18" t="s">
        <v>2741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2748</v>
      </c>
    </row>
    <row r="11" ht="18.0" customHeight="1">
      <c r="A11" s="17" t="s">
        <v>428</v>
      </c>
      <c r="B11" s="18" t="s">
        <v>2570</v>
      </c>
    </row>
    <row r="12" ht="18.0" customHeight="1">
      <c r="A12" s="15" t="s">
        <v>430</v>
      </c>
      <c r="B12" s="16" t="s">
        <v>2750</v>
      </c>
    </row>
    <row r="13" ht="18.0" customHeight="1">
      <c r="A13" s="17" t="s">
        <v>433</v>
      </c>
      <c r="B13" s="18" t="s">
        <v>2751</v>
      </c>
    </row>
    <row r="14" ht="18.0" customHeight="1">
      <c r="A14" s="15" t="s">
        <v>435</v>
      </c>
      <c r="B14" s="16" t="s">
        <v>2752</v>
      </c>
    </row>
    <row r="15" ht="18.0" customHeight="1">
      <c r="A15" s="17" t="s">
        <v>437</v>
      </c>
      <c r="B15" s="18" t="s">
        <v>2754</v>
      </c>
    </row>
    <row r="17" ht="19.5" customHeight="1">
      <c r="A17" s="13" t="s">
        <v>441</v>
      </c>
      <c r="B17" s="14"/>
    </row>
    <row r="18" ht="75.0" customHeight="1">
      <c r="A18" s="15" t="s">
        <v>1373</v>
      </c>
      <c r="B18" s="16" t="s">
        <v>2760</v>
      </c>
    </row>
    <row r="19" ht="75.0" customHeight="1">
      <c r="A19" s="17" t="s">
        <v>2761</v>
      </c>
      <c r="B19" s="18" t="s">
        <v>2762</v>
      </c>
    </row>
    <row r="20" ht="75.0" customHeight="1">
      <c r="A20" s="15" t="s">
        <v>2763</v>
      </c>
      <c r="B20" s="16" t="s">
        <v>2765</v>
      </c>
    </row>
    <row r="21" ht="60.0" customHeight="1">
      <c r="A21" s="17" t="s">
        <v>2766</v>
      </c>
      <c r="B21" s="18" t="s">
        <v>2768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2770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2772</v>
      </c>
    </row>
    <row r="28" ht="18.0" customHeight="1">
      <c r="A28" s="15" t="s">
        <v>471</v>
      </c>
      <c r="B28" s="16" t="s">
        <v>2773</v>
      </c>
    </row>
    <row r="29" ht="18.0" customHeight="1">
      <c r="A29" s="17" t="s">
        <v>473</v>
      </c>
      <c r="B29" s="18" t="s">
        <v>2775</v>
      </c>
    </row>
    <row r="30" ht="18.0" customHeight="1">
      <c r="A30" s="15" t="s">
        <v>475</v>
      </c>
      <c r="B30" s="16" t="s">
        <v>2776</v>
      </c>
    </row>
    <row r="31" ht="18.0" customHeight="1">
      <c r="A31" s="17" t="s">
        <v>477</v>
      </c>
      <c r="B31" s="18" t="s">
        <v>960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2777</v>
      </c>
    </row>
    <row r="36" ht="18.0" customHeight="1">
      <c r="A36" s="15" t="s">
        <v>489</v>
      </c>
      <c r="B36" s="16" t="s">
        <v>2779</v>
      </c>
    </row>
    <row r="37" ht="18.0" customHeight="1">
      <c r="A37" s="17" t="s">
        <v>491</v>
      </c>
      <c r="B37" s="18" t="s">
        <v>2085</v>
      </c>
    </row>
    <row r="38" ht="18.0" customHeight="1">
      <c r="A38" s="15" t="s">
        <v>493</v>
      </c>
      <c r="B38" s="16" t="s">
        <v>1252</v>
      </c>
    </row>
    <row r="39" ht="18.0" customHeight="1">
      <c r="A39" s="17" t="s">
        <v>498</v>
      </c>
      <c r="B39" s="18" t="s">
        <v>2159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2743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2756</v>
      </c>
    </row>
    <row r="5" ht="18.0" customHeight="1">
      <c r="A5" s="17" t="s">
        <v>413</v>
      </c>
      <c r="B5" s="18" t="s">
        <v>2567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2371</v>
      </c>
    </row>
    <row r="10" ht="18.0" customHeight="1">
      <c r="A10" s="15" t="s">
        <v>425</v>
      </c>
      <c r="B10" s="16" t="s">
        <v>2769</v>
      </c>
    </row>
    <row r="11" ht="18.0" customHeight="1">
      <c r="A11" s="17" t="s">
        <v>428</v>
      </c>
      <c r="B11" s="18" t="s">
        <v>2771</v>
      </c>
    </row>
    <row r="12" ht="18.0" customHeight="1">
      <c r="A12" s="15" t="s">
        <v>430</v>
      </c>
      <c r="B12" s="16" t="s">
        <v>2302</v>
      </c>
    </row>
    <row r="13" ht="18.0" customHeight="1">
      <c r="A13" s="17" t="s">
        <v>433</v>
      </c>
      <c r="B13" s="18" t="s">
        <v>2774</v>
      </c>
    </row>
    <row r="14" ht="18.0" customHeight="1">
      <c r="A14" s="15" t="s">
        <v>435</v>
      </c>
      <c r="B14" s="16" t="s">
        <v>1406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60.0" customHeight="1">
      <c r="A18" s="15" t="s">
        <v>2778</v>
      </c>
      <c r="B18" s="16" t="s">
        <v>2780</v>
      </c>
    </row>
    <row r="19" ht="90.0" customHeight="1">
      <c r="A19" s="17" t="s">
        <v>2781</v>
      </c>
      <c r="B19" s="18" t="s">
        <v>2782</v>
      </c>
    </row>
    <row r="20" ht="45.0" customHeight="1">
      <c r="A20" s="15" t="s">
        <v>2783</v>
      </c>
      <c r="B20" s="16" t="s">
        <v>2784</v>
      </c>
    </row>
    <row r="21" ht="60.0" customHeight="1">
      <c r="A21" s="17" t="s">
        <v>2785</v>
      </c>
      <c r="B21" s="18" t="s">
        <v>2786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2787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2788</v>
      </c>
    </row>
    <row r="28" ht="18.0" customHeight="1">
      <c r="A28" s="15" t="s">
        <v>471</v>
      </c>
      <c r="B28" s="16" t="s">
        <v>2789</v>
      </c>
    </row>
    <row r="29" ht="18.0" customHeight="1">
      <c r="A29" s="17" t="s">
        <v>473</v>
      </c>
      <c r="B29" s="18" t="s">
        <v>2790</v>
      </c>
    </row>
    <row r="30" ht="18.0" customHeight="1">
      <c r="A30" s="15" t="s">
        <v>475</v>
      </c>
      <c r="B30" s="16" t="s">
        <v>2791</v>
      </c>
    </row>
    <row r="31" ht="18.0" customHeight="1">
      <c r="A31" s="17" t="s">
        <v>477</v>
      </c>
      <c r="B31" s="18" t="s">
        <v>2792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2793</v>
      </c>
    </row>
    <row r="36" ht="18.0" customHeight="1">
      <c r="A36" s="15" t="s">
        <v>489</v>
      </c>
      <c r="B36" s="16" t="s">
        <v>2794</v>
      </c>
    </row>
    <row r="37" ht="18.0" customHeight="1">
      <c r="A37" s="17" t="s">
        <v>491</v>
      </c>
      <c r="B37" s="18" t="s">
        <v>2795</v>
      </c>
    </row>
    <row r="38" ht="18.0" customHeight="1">
      <c r="A38" s="15" t="s">
        <v>493</v>
      </c>
      <c r="B38" s="16" t="s">
        <v>501</v>
      </c>
    </row>
    <row r="39" ht="18.0" customHeight="1">
      <c r="A39" s="17" t="s">
        <v>498</v>
      </c>
      <c r="B39" s="18" t="s">
        <v>1694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2796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2797</v>
      </c>
    </row>
    <row r="5" ht="18.0" customHeight="1">
      <c r="A5" s="17" t="s">
        <v>413</v>
      </c>
      <c r="B5" s="18" t="s">
        <v>2798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2800</v>
      </c>
    </row>
    <row r="12" ht="18.0" customHeight="1">
      <c r="A12" s="15" t="s">
        <v>430</v>
      </c>
      <c r="B12" s="16" t="s">
        <v>2801</v>
      </c>
    </row>
    <row r="13" ht="18.0" customHeight="1">
      <c r="A13" s="17" t="s">
        <v>433</v>
      </c>
      <c r="B13" s="18" t="s">
        <v>2802</v>
      </c>
    </row>
    <row r="14" ht="18.0" customHeight="1">
      <c r="A14" s="15" t="s">
        <v>435</v>
      </c>
      <c r="B14" s="16" t="s">
        <v>2752</v>
      </c>
    </row>
    <row r="15" ht="18.0" customHeight="1">
      <c r="A15" s="17" t="s">
        <v>437</v>
      </c>
      <c r="B15" s="18" t="s">
        <v>2754</v>
      </c>
    </row>
    <row r="17" ht="19.5" customHeight="1">
      <c r="A17" s="13" t="s">
        <v>441</v>
      </c>
      <c r="B17" s="14"/>
    </row>
    <row r="18" ht="45.0" customHeight="1">
      <c r="A18" s="15" t="s">
        <v>2803</v>
      </c>
      <c r="B18" s="16" t="s">
        <v>2804</v>
      </c>
    </row>
    <row r="19" ht="60.0" customHeight="1">
      <c r="A19" s="17" t="s">
        <v>2805</v>
      </c>
      <c r="B19" s="18" t="s">
        <v>2806</v>
      </c>
    </row>
    <row r="20" ht="45.0" customHeight="1">
      <c r="A20" s="15" t="s">
        <v>2807</v>
      </c>
      <c r="B20" s="16" t="s">
        <v>2808</v>
      </c>
    </row>
    <row r="21" ht="60.0" customHeight="1">
      <c r="A21" s="17" t="s">
        <v>2809</v>
      </c>
      <c r="B21" s="18" t="s">
        <v>2810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2811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2812</v>
      </c>
    </row>
    <row r="28" ht="18.0" customHeight="1">
      <c r="A28" s="15" t="s">
        <v>471</v>
      </c>
      <c r="B28" s="16" t="s">
        <v>2813</v>
      </c>
    </row>
    <row r="29" ht="18.0" customHeight="1">
      <c r="A29" s="17" t="s">
        <v>473</v>
      </c>
      <c r="B29" s="18" t="s">
        <v>2814</v>
      </c>
    </row>
    <row r="30" ht="18.0" customHeight="1">
      <c r="A30" s="15" t="s">
        <v>475</v>
      </c>
      <c r="B30" s="16" t="s">
        <v>2815</v>
      </c>
    </row>
    <row r="31" ht="18.0" customHeight="1">
      <c r="A31" s="17" t="s">
        <v>477</v>
      </c>
      <c r="B31" s="18" t="s">
        <v>2816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2817</v>
      </c>
    </row>
    <row r="36" ht="18.0" customHeight="1">
      <c r="A36" s="15" t="s">
        <v>489</v>
      </c>
      <c r="B36" s="16" t="s">
        <v>2818</v>
      </c>
    </row>
    <row r="37" ht="18.0" customHeight="1">
      <c r="A37" s="17" t="s">
        <v>491</v>
      </c>
      <c r="B37" s="18" t="s">
        <v>2820</v>
      </c>
    </row>
    <row r="38" ht="18.0" customHeight="1">
      <c r="A38" s="15" t="s">
        <v>493</v>
      </c>
      <c r="B38" s="16" t="s">
        <v>2821</v>
      </c>
    </row>
    <row r="39" ht="18.0" customHeight="1">
      <c r="A39" s="17" t="s">
        <v>498</v>
      </c>
      <c r="B39" s="18" t="s">
        <v>1154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2819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2822</v>
      </c>
    </row>
    <row r="5" ht="18.0" customHeight="1">
      <c r="A5" s="17" t="s">
        <v>413</v>
      </c>
      <c r="B5" s="18" t="s">
        <v>2823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2824</v>
      </c>
    </row>
    <row r="12" ht="18.0" customHeight="1">
      <c r="A12" s="15" t="s">
        <v>430</v>
      </c>
      <c r="B12" s="16" t="s">
        <v>2132</v>
      </c>
    </row>
    <row r="13" ht="18.0" customHeight="1">
      <c r="A13" s="17" t="s">
        <v>433</v>
      </c>
      <c r="B13" s="18" t="s">
        <v>2826</v>
      </c>
    </row>
    <row r="14" ht="18.0" customHeight="1">
      <c r="A14" s="15" t="s">
        <v>435</v>
      </c>
      <c r="B14" s="16" t="s">
        <v>2349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60.0" customHeight="1">
      <c r="A18" s="15" t="s">
        <v>2827</v>
      </c>
      <c r="B18" s="16" t="s">
        <v>2828</v>
      </c>
    </row>
    <row r="19" ht="60.0" customHeight="1">
      <c r="A19" s="17" t="s">
        <v>2829</v>
      </c>
      <c r="B19" s="18" t="s">
        <v>2830</v>
      </c>
    </row>
    <row r="20" ht="45.0" customHeight="1">
      <c r="A20" s="15" t="s">
        <v>2831</v>
      </c>
      <c r="B20" s="16" t="s">
        <v>2832</v>
      </c>
    </row>
    <row r="21" ht="45.0" customHeight="1">
      <c r="A21" s="17" t="s">
        <v>2833</v>
      </c>
      <c r="B21" s="18" t="s">
        <v>2834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2836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2838</v>
      </c>
    </row>
    <row r="28" ht="18.0" customHeight="1">
      <c r="A28" s="15" t="s">
        <v>471</v>
      </c>
      <c r="B28" s="16" t="s">
        <v>2839</v>
      </c>
    </row>
    <row r="29" ht="18.0" customHeight="1">
      <c r="A29" s="17" t="s">
        <v>473</v>
      </c>
      <c r="B29" s="18" t="s">
        <v>2841</v>
      </c>
    </row>
    <row r="30" ht="18.0" customHeight="1">
      <c r="A30" s="15" t="s">
        <v>475</v>
      </c>
      <c r="B30" s="16" t="s">
        <v>2843</v>
      </c>
    </row>
    <row r="31" ht="18.0" customHeight="1">
      <c r="A31" s="17" t="s">
        <v>477</v>
      </c>
      <c r="B31" s="18" t="s">
        <v>2759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2846</v>
      </c>
    </row>
    <row r="36" ht="18.0" customHeight="1">
      <c r="A36" s="15" t="s">
        <v>489</v>
      </c>
      <c r="B36" s="16" t="s">
        <v>2848</v>
      </c>
    </row>
    <row r="37" ht="18.0" customHeight="1">
      <c r="A37" s="17" t="s">
        <v>491</v>
      </c>
      <c r="B37" s="18" t="s">
        <v>2851</v>
      </c>
    </row>
    <row r="38" ht="18.0" customHeight="1">
      <c r="A38" s="15" t="s">
        <v>493</v>
      </c>
      <c r="B38" s="16" t="s">
        <v>2852</v>
      </c>
    </row>
    <row r="39" ht="18.0" customHeight="1">
      <c r="A39" s="17" t="s">
        <v>498</v>
      </c>
      <c r="B39" s="18" t="s">
        <v>2853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2825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2835</v>
      </c>
    </row>
    <row r="5" ht="18.0" customHeight="1">
      <c r="A5" s="17" t="s">
        <v>413</v>
      </c>
      <c r="B5" s="18" t="s">
        <v>2837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2840</v>
      </c>
    </row>
    <row r="12" ht="18.0" customHeight="1">
      <c r="A12" s="15" t="s">
        <v>430</v>
      </c>
      <c r="B12" s="16" t="s">
        <v>2842</v>
      </c>
    </row>
    <row r="13" ht="18.0" customHeight="1">
      <c r="A13" s="17" t="s">
        <v>433</v>
      </c>
      <c r="B13" s="18" t="s">
        <v>2844</v>
      </c>
    </row>
    <row r="14" ht="18.0" customHeight="1">
      <c r="A14" s="15" t="s">
        <v>435</v>
      </c>
      <c r="B14" s="16" t="s">
        <v>1229</v>
      </c>
    </row>
    <row r="15" ht="18.0" customHeight="1">
      <c r="A15" s="17" t="s">
        <v>437</v>
      </c>
      <c r="B15" s="18" t="s">
        <v>559</v>
      </c>
    </row>
    <row r="17" ht="19.5" customHeight="1">
      <c r="A17" s="13" t="s">
        <v>441</v>
      </c>
      <c r="B17" s="14"/>
    </row>
    <row r="18" ht="60.0" customHeight="1">
      <c r="A18" s="15" t="s">
        <v>2845</v>
      </c>
      <c r="B18" s="16" t="s">
        <v>2847</v>
      </c>
    </row>
    <row r="19" ht="45.0" customHeight="1">
      <c r="A19" s="17" t="s">
        <v>2849</v>
      </c>
      <c r="B19" s="18" t="s">
        <v>2850</v>
      </c>
    </row>
    <row r="20" ht="60.0" customHeight="1">
      <c r="A20" s="15" t="s">
        <v>2855</v>
      </c>
      <c r="B20" s="16" t="s">
        <v>2856</v>
      </c>
    </row>
    <row r="21" ht="45.0" customHeight="1">
      <c r="A21" s="17" t="s">
        <v>2857</v>
      </c>
      <c r="B21" s="18" t="s">
        <v>2858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2859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2861</v>
      </c>
    </row>
    <row r="28" ht="18.0" customHeight="1">
      <c r="A28" s="15" t="s">
        <v>471</v>
      </c>
      <c r="B28" s="16" t="s">
        <v>2862</v>
      </c>
    </row>
    <row r="29" ht="18.0" customHeight="1">
      <c r="A29" s="17" t="s">
        <v>473</v>
      </c>
      <c r="B29" s="18" t="s">
        <v>2863</v>
      </c>
    </row>
    <row r="30" ht="18.0" customHeight="1">
      <c r="A30" s="15" t="s">
        <v>475</v>
      </c>
      <c r="B30" s="16" t="s">
        <v>2864</v>
      </c>
    </row>
    <row r="31" ht="18.0" customHeight="1">
      <c r="A31" s="17" t="s">
        <v>477</v>
      </c>
      <c r="B31" s="18" t="s">
        <v>2449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2865</v>
      </c>
    </row>
    <row r="36" ht="18.0" customHeight="1">
      <c r="A36" s="15" t="s">
        <v>489</v>
      </c>
      <c r="B36" s="16" t="s">
        <v>2866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2869</v>
      </c>
    </row>
    <row r="39" ht="18.0" customHeight="1">
      <c r="A39" s="17" t="s">
        <v>498</v>
      </c>
      <c r="B39" s="18" t="s">
        <v>2870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2854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2860</v>
      </c>
    </row>
    <row r="5" ht="18.0" customHeight="1">
      <c r="A5" s="17" t="s">
        <v>413</v>
      </c>
      <c r="B5" s="18" t="s">
        <v>2005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2200</v>
      </c>
    </row>
    <row r="12" ht="18.0" customHeight="1">
      <c r="A12" s="15" t="s">
        <v>430</v>
      </c>
      <c r="B12" s="16" t="s">
        <v>2611</v>
      </c>
    </row>
    <row r="13" ht="18.0" customHeight="1">
      <c r="A13" s="17" t="s">
        <v>433</v>
      </c>
      <c r="B13" s="18" t="s">
        <v>1932</v>
      </c>
    </row>
    <row r="14" ht="18.0" customHeight="1">
      <c r="A14" s="15" t="s">
        <v>435</v>
      </c>
      <c r="B14" s="16" t="s">
        <v>2867</v>
      </c>
    </row>
    <row r="15" ht="18.0" customHeight="1">
      <c r="A15" s="17" t="s">
        <v>437</v>
      </c>
      <c r="B15" s="18" t="s">
        <v>2868</v>
      </c>
    </row>
    <row r="17" ht="19.5" customHeight="1">
      <c r="A17" s="13" t="s">
        <v>441</v>
      </c>
      <c r="B17" s="14"/>
    </row>
    <row r="18" ht="45.0" customHeight="1">
      <c r="A18" s="15" t="s">
        <v>2871</v>
      </c>
      <c r="B18" s="16" t="s">
        <v>2872</v>
      </c>
    </row>
    <row r="19" ht="60.0" customHeight="1">
      <c r="A19" s="17" t="s">
        <v>2873</v>
      </c>
      <c r="B19" s="18" t="s">
        <v>2874</v>
      </c>
    </row>
    <row r="20" ht="60.0" customHeight="1">
      <c r="A20" s="15" t="s">
        <v>2875</v>
      </c>
      <c r="B20" s="16" t="s">
        <v>2876</v>
      </c>
    </row>
    <row r="21" ht="45.0" customHeight="1">
      <c r="A21" s="17" t="s">
        <v>2877</v>
      </c>
      <c r="B21" s="18" t="s">
        <v>2878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2879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2880</v>
      </c>
    </row>
    <row r="28" ht="18.0" customHeight="1">
      <c r="A28" s="15" t="s">
        <v>471</v>
      </c>
      <c r="B28" s="16" t="s">
        <v>2881</v>
      </c>
    </row>
    <row r="29" ht="18.0" customHeight="1">
      <c r="A29" s="17" t="s">
        <v>473</v>
      </c>
      <c r="B29" s="18" t="s">
        <v>2882</v>
      </c>
    </row>
    <row r="30" ht="18.0" customHeight="1">
      <c r="A30" s="15" t="s">
        <v>475</v>
      </c>
      <c r="B30" s="16" t="s">
        <v>2883</v>
      </c>
    </row>
    <row r="31" ht="18.0" customHeight="1">
      <c r="A31" s="17" t="s">
        <v>477</v>
      </c>
      <c r="B31" s="18" t="s">
        <v>2884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2885</v>
      </c>
    </row>
    <row r="36" ht="18.0" customHeight="1">
      <c r="A36" s="15" t="s">
        <v>489</v>
      </c>
      <c r="B36" s="16" t="s">
        <v>2886</v>
      </c>
    </row>
    <row r="37" ht="18.0" customHeight="1">
      <c r="A37" s="17" t="s">
        <v>491</v>
      </c>
      <c r="B37" s="18" t="s">
        <v>500</v>
      </c>
    </row>
    <row r="38" ht="18.0" customHeight="1">
      <c r="A38" s="15" t="s">
        <v>493</v>
      </c>
      <c r="B38" s="16" t="s">
        <v>1905</v>
      </c>
    </row>
    <row r="39" ht="18.0" customHeight="1">
      <c r="A39" s="17" t="s">
        <v>498</v>
      </c>
      <c r="B39" s="18" t="s">
        <v>2887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2888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2889</v>
      </c>
    </row>
    <row r="5" ht="18.0" customHeight="1">
      <c r="A5" s="17" t="s">
        <v>413</v>
      </c>
      <c r="B5" s="18" t="s">
        <v>1568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2890</v>
      </c>
    </row>
    <row r="12" ht="18.0" customHeight="1">
      <c r="A12" s="15" t="s">
        <v>430</v>
      </c>
      <c r="B12" s="16" t="s">
        <v>2302</v>
      </c>
    </row>
    <row r="13" ht="18.0" customHeight="1">
      <c r="A13" s="17" t="s">
        <v>433</v>
      </c>
      <c r="B13" s="18" t="s">
        <v>2891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45.0" customHeight="1">
      <c r="A18" s="15" t="s">
        <v>2892</v>
      </c>
      <c r="B18" s="16" t="s">
        <v>2893</v>
      </c>
    </row>
    <row r="19" ht="60.0" customHeight="1">
      <c r="A19" s="17" t="s">
        <v>1576</v>
      </c>
      <c r="B19" s="18" t="s">
        <v>2894</v>
      </c>
    </row>
    <row r="20" ht="60.0" customHeight="1">
      <c r="A20" s="15" t="s">
        <v>2895</v>
      </c>
      <c r="B20" s="16" t="s">
        <v>2896</v>
      </c>
    </row>
    <row r="21" ht="45.0" customHeight="1">
      <c r="A21" s="17" t="s">
        <v>2897</v>
      </c>
      <c r="B21" s="18" t="s">
        <v>2898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2899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2900</v>
      </c>
    </row>
    <row r="28" ht="18.0" customHeight="1">
      <c r="A28" s="15" t="s">
        <v>471</v>
      </c>
      <c r="B28" s="16" t="s">
        <v>2901</v>
      </c>
    </row>
    <row r="29" ht="18.0" customHeight="1">
      <c r="A29" s="17" t="s">
        <v>473</v>
      </c>
      <c r="B29" s="18" t="s">
        <v>2902</v>
      </c>
    </row>
    <row r="30" ht="18.0" customHeight="1">
      <c r="A30" s="15" t="s">
        <v>475</v>
      </c>
      <c r="B30" s="16" t="s">
        <v>2903</v>
      </c>
    </row>
    <row r="31" ht="18.0" customHeight="1">
      <c r="A31" s="17" t="s">
        <v>477</v>
      </c>
      <c r="B31" s="18" t="s">
        <v>2904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2905</v>
      </c>
    </row>
    <row r="36" ht="18.0" customHeight="1">
      <c r="A36" s="15" t="s">
        <v>489</v>
      </c>
      <c r="B36" s="16" t="s">
        <v>2906</v>
      </c>
    </row>
    <row r="37" ht="18.0" customHeight="1">
      <c r="A37" s="17" t="s">
        <v>491</v>
      </c>
      <c r="B37" s="18" t="s">
        <v>2907</v>
      </c>
    </row>
    <row r="38" ht="18.0" customHeight="1">
      <c r="A38" s="15" t="s">
        <v>493</v>
      </c>
      <c r="B38" s="16" t="s">
        <v>2908</v>
      </c>
    </row>
    <row r="39" ht="18.0" customHeight="1">
      <c r="A39" s="17" t="s">
        <v>498</v>
      </c>
      <c r="B39" s="18" t="s">
        <v>2909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2910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2911</v>
      </c>
    </row>
    <row r="5" ht="18.0" customHeight="1">
      <c r="A5" s="17" t="s">
        <v>413</v>
      </c>
      <c r="B5" s="18" t="s">
        <v>2477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2912</v>
      </c>
    </row>
    <row r="11" ht="18.0" customHeight="1">
      <c r="A11" s="17" t="s">
        <v>428</v>
      </c>
      <c r="B11" s="18" t="s">
        <v>2913</v>
      </c>
    </row>
    <row r="12" ht="18.0" customHeight="1">
      <c r="A12" s="15" t="s">
        <v>430</v>
      </c>
      <c r="B12" s="16" t="s">
        <v>2914</v>
      </c>
    </row>
    <row r="13" ht="18.0" customHeight="1">
      <c r="A13" s="17" t="s">
        <v>433</v>
      </c>
      <c r="B13" s="18" t="s">
        <v>2915</v>
      </c>
    </row>
    <row r="14" ht="18.0" customHeight="1">
      <c r="A14" s="15" t="s">
        <v>435</v>
      </c>
      <c r="B14" s="16" t="s">
        <v>2481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60.0" customHeight="1">
      <c r="A18" s="15" t="s">
        <v>2917</v>
      </c>
      <c r="B18" s="16" t="s">
        <v>2918</v>
      </c>
    </row>
    <row r="19" ht="75.0" customHeight="1">
      <c r="A19" s="17" t="s">
        <v>2919</v>
      </c>
      <c r="B19" s="18" t="s">
        <v>2920</v>
      </c>
    </row>
    <row r="20" ht="60.0" customHeight="1">
      <c r="A20" s="15" t="s">
        <v>2921</v>
      </c>
      <c r="B20" s="16" t="s">
        <v>2922</v>
      </c>
    </row>
    <row r="21" ht="30.0" customHeight="1">
      <c r="A21" s="17" t="s">
        <v>2923</v>
      </c>
      <c r="B21" s="18" t="s">
        <v>2924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2927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2928</v>
      </c>
    </row>
    <row r="28" ht="18.0" customHeight="1">
      <c r="A28" s="15" t="s">
        <v>471</v>
      </c>
      <c r="B28" s="16" t="s">
        <v>2929</v>
      </c>
    </row>
    <row r="29" ht="18.0" customHeight="1">
      <c r="A29" s="17" t="s">
        <v>473</v>
      </c>
      <c r="B29" s="18" t="s">
        <v>2931</v>
      </c>
    </row>
    <row r="30" ht="18.0" customHeight="1">
      <c r="A30" s="15" t="s">
        <v>475</v>
      </c>
      <c r="B30" s="16" t="s">
        <v>2934</v>
      </c>
    </row>
    <row r="31" ht="18.0" customHeight="1">
      <c r="A31" s="17" t="s">
        <v>477</v>
      </c>
      <c r="B31" s="18" t="s">
        <v>2500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2940</v>
      </c>
    </row>
    <row r="36" ht="18.0" customHeight="1">
      <c r="A36" s="15" t="s">
        <v>489</v>
      </c>
      <c r="B36" s="16" t="s">
        <v>2943</v>
      </c>
    </row>
    <row r="37" ht="18.0" customHeight="1">
      <c r="A37" s="17" t="s">
        <v>491</v>
      </c>
      <c r="B37" s="18" t="s">
        <v>1772</v>
      </c>
    </row>
    <row r="38" ht="18.0" customHeight="1">
      <c r="A38" s="15" t="s">
        <v>493</v>
      </c>
      <c r="B38" s="16" t="s">
        <v>2947</v>
      </c>
    </row>
    <row r="39" ht="18.0" customHeight="1">
      <c r="A39" s="17" t="s">
        <v>498</v>
      </c>
      <c r="B39" s="18" t="s">
        <v>1494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2916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2925</v>
      </c>
    </row>
    <row r="5" ht="18.0" customHeight="1">
      <c r="A5" s="17" t="s">
        <v>413</v>
      </c>
      <c r="B5" s="18" t="s">
        <v>2926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2930</v>
      </c>
    </row>
    <row r="12" ht="18.0" customHeight="1">
      <c r="A12" s="15" t="s">
        <v>430</v>
      </c>
      <c r="B12" s="16" t="s">
        <v>2932</v>
      </c>
    </row>
    <row r="13" ht="18.0" customHeight="1">
      <c r="A13" s="17" t="s">
        <v>433</v>
      </c>
      <c r="B13" s="18" t="s">
        <v>2933</v>
      </c>
    </row>
    <row r="14" ht="18.0" customHeight="1">
      <c r="A14" s="15" t="s">
        <v>435</v>
      </c>
      <c r="B14" s="16" t="s">
        <v>2935</v>
      </c>
    </row>
    <row r="15" ht="18.0" customHeight="1">
      <c r="A15" s="17" t="s">
        <v>437</v>
      </c>
      <c r="B15" s="18" t="s">
        <v>2936</v>
      </c>
    </row>
    <row r="17" ht="19.5" customHeight="1">
      <c r="A17" s="13" t="s">
        <v>441</v>
      </c>
      <c r="B17" s="14"/>
    </row>
    <row r="18" ht="45.0" customHeight="1">
      <c r="A18" s="15" t="s">
        <v>2937</v>
      </c>
      <c r="B18" s="16" t="s">
        <v>2938</v>
      </c>
    </row>
    <row r="19" ht="60.0" customHeight="1">
      <c r="A19" s="17" t="s">
        <v>2939</v>
      </c>
      <c r="B19" s="18" t="s">
        <v>2941</v>
      </c>
    </row>
    <row r="20" ht="60.0" customHeight="1">
      <c r="A20" s="15" t="s">
        <v>2942</v>
      </c>
      <c r="B20" s="16" t="s">
        <v>2944</v>
      </c>
    </row>
    <row r="21" ht="45.0" customHeight="1">
      <c r="A21" s="17" t="s">
        <v>2945</v>
      </c>
      <c r="B21" s="18" t="s">
        <v>2946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2948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2949</v>
      </c>
    </row>
    <row r="28" ht="18.0" customHeight="1">
      <c r="A28" s="15" t="s">
        <v>471</v>
      </c>
      <c r="B28" s="16" t="s">
        <v>2950</v>
      </c>
    </row>
    <row r="29" ht="18.0" customHeight="1">
      <c r="A29" s="17" t="s">
        <v>473</v>
      </c>
      <c r="B29" s="18" t="s">
        <v>2951</v>
      </c>
    </row>
    <row r="30" ht="18.0" customHeight="1">
      <c r="A30" s="15" t="s">
        <v>475</v>
      </c>
      <c r="B30" s="16" t="s">
        <v>2952</v>
      </c>
    </row>
    <row r="31" ht="18.0" customHeight="1">
      <c r="A31" s="17" t="s">
        <v>477</v>
      </c>
      <c r="B31" s="18" t="s">
        <v>2953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2954</v>
      </c>
    </row>
    <row r="36" ht="18.0" customHeight="1">
      <c r="A36" s="15" t="s">
        <v>489</v>
      </c>
      <c r="B36" s="16" t="s">
        <v>2955</v>
      </c>
    </row>
    <row r="37" ht="18.0" customHeight="1">
      <c r="A37" s="17" t="s">
        <v>491</v>
      </c>
      <c r="B37" s="18" t="s">
        <v>527</v>
      </c>
    </row>
    <row r="38" ht="18.0" customHeight="1">
      <c r="A38" s="15" t="s">
        <v>493</v>
      </c>
      <c r="B38" s="16" t="s">
        <v>2956</v>
      </c>
    </row>
    <row r="39" ht="18.0" customHeight="1">
      <c r="A39" s="17" t="s">
        <v>498</v>
      </c>
      <c r="B39" s="18" t="s">
        <v>2957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2958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2959</v>
      </c>
    </row>
    <row r="5" ht="18.0" customHeight="1">
      <c r="A5" s="17" t="s">
        <v>413</v>
      </c>
      <c r="B5" s="18" t="s">
        <v>2960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2130</v>
      </c>
    </row>
    <row r="12" ht="18.0" customHeight="1">
      <c r="A12" s="15" t="s">
        <v>430</v>
      </c>
      <c r="B12" s="16" t="s">
        <v>2961</v>
      </c>
    </row>
    <row r="13" ht="18.0" customHeight="1">
      <c r="A13" s="17" t="s">
        <v>433</v>
      </c>
      <c r="B13" s="18" t="s">
        <v>2962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45.0" customHeight="1">
      <c r="A18" s="15" t="s">
        <v>2964</v>
      </c>
      <c r="B18" s="16" t="s">
        <v>2965</v>
      </c>
    </row>
    <row r="19" ht="75.0" customHeight="1">
      <c r="A19" s="17" t="s">
        <v>2966</v>
      </c>
      <c r="B19" s="18" t="s">
        <v>2967</v>
      </c>
    </row>
    <row r="20" ht="75.0" customHeight="1">
      <c r="A20" s="15" t="s">
        <v>2968</v>
      </c>
      <c r="B20" s="16" t="s">
        <v>2969</v>
      </c>
    </row>
    <row r="21" ht="45.0" customHeight="1">
      <c r="A21" s="17" t="s">
        <v>2970</v>
      </c>
      <c r="B21" s="18" t="s">
        <v>2971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2974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2975</v>
      </c>
    </row>
    <row r="28" ht="18.0" customHeight="1">
      <c r="A28" s="15" t="s">
        <v>471</v>
      </c>
      <c r="B28" s="16" t="s">
        <v>2977</v>
      </c>
    </row>
    <row r="29" ht="18.0" customHeight="1">
      <c r="A29" s="17" t="s">
        <v>473</v>
      </c>
      <c r="B29" s="18" t="s">
        <v>2979</v>
      </c>
    </row>
    <row r="30" ht="18.0" customHeight="1">
      <c r="A30" s="15" t="s">
        <v>475</v>
      </c>
      <c r="B30" s="16" t="s">
        <v>2981</v>
      </c>
    </row>
    <row r="31" ht="18.0" customHeight="1">
      <c r="A31" s="17" t="s">
        <v>477</v>
      </c>
      <c r="B31" s="18" t="s">
        <v>2982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2985</v>
      </c>
    </row>
    <row r="36" ht="18.0" customHeight="1">
      <c r="A36" s="15" t="s">
        <v>489</v>
      </c>
      <c r="B36" s="16" t="s">
        <v>2988</v>
      </c>
    </row>
    <row r="37" ht="18.0" customHeight="1">
      <c r="A37" s="17" t="s">
        <v>491</v>
      </c>
      <c r="B37" s="18" t="s">
        <v>2992</v>
      </c>
    </row>
    <row r="38" ht="18.0" customHeight="1">
      <c r="A38" s="15" t="s">
        <v>493</v>
      </c>
      <c r="B38" s="16" t="s">
        <v>688</v>
      </c>
    </row>
    <row r="39" ht="18.0" customHeight="1">
      <c r="A39" s="17" t="s">
        <v>498</v>
      </c>
      <c r="B39" s="18" t="s">
        <v>2994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2963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2972</v>
      </c>
    </row>
    <row r="5" ht="18.0" customHeight="1">
      <c r="A5" s="17" t="s">
        <v>413</v>
      </c>
      <c r="B5" s="18" t="s">
        <v>2973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2976</v>
      </c>
    </row>
    <row r="12" ht="18.0" customHeight="1">
      <c r="A12" s="15" t="s">
        <v>430</v>
      </c>
      <c r="B12" s="16" t="s">
        <v>2978</v>
      </c>
    </row>
    <row r="13" ht="18.0" customHeight="1">
      <c r="A13" s="17" t="s">
        <v>433</v>
      </c>
      <c r="B13" s="18" t="s">
        <v>2980</v>
      </c>
    </row>
    <row r="14" ht="18.0" customHeight="1">
      <c r="A14" s="15" t="s">
        <v>435</v>
      </c>
      <c r="B14" s="16" t="s">
        <v>1131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60.0" customHeight="1">
      <c r="A18" s="15" t="s">
        <v>2983</v>
      </c>
      <c r="B18" s="16" t="s">
        <v>2984</v>
      </c>
    </row>
    <row r="19" ht="90.0" customHeight="1">
      <c r="A19" s="17" t="s">
        <v>2986</v>
      </c>
      <c r="B19" s="18" t="s">
        <v>2987</v>
      </c>
    </row>
    <row r="20" ht="30.0" customHeight="1">
      <c r="A20" s="15" t="s">
        <v>2989</v>
      </c>
      <c r="B20" s="16" t="s">
        <v>2990</v>
      </c>
    </row>
    <row r="21" ht="45.0" customHeight="1">
      <c r="A21" s="17" t="s">
        <v>2991</v>
      </c>
      <c r="B21" s="18" t="s">
        <v>2993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2995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2996</v>
      </c>
    </row>
    <row r="28" ht="18.0" customHeight="1">
      <c r="A28" s="15" t="s">
        <v>471</v>
      </c>
      <c r="B28" s="16" t="s">
        <v>2997</v>
      </c>
    </row>
    <row r="29" ht="18.0" customHeight="1">
      <c r="A29" s="17" t="s">
        <v>473</v>
      </c>
      <c r="B29" s="18" t="s">
        <v>2998</v>
      </c>
    </row>
    <row r="30" ht="18.0" customHeight="1">
      <c r="A30" s="15" t="s">
        <v>475</v>
      </c>
      <c r="B30" s="16" t="s">
        <v>2999</v>
      </c>
    </row>
    <row r="31" ht="18.0" customHeight="1">
      <c r="A31" s="17" t="s">
        <v>477</v>
      </c>
      <c r="B31" s="18" t="s">
        <v>3000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3001</v>
      </c>
    </row>
    <row r="36" ht="18.0" customHeight="1">
      <c r="A36" s="15" t="s">
        <v>489</v>
      </c>
      <c r="B36" s="16" t="s">
        <v>3002</v>
      </c>
    </row>
    <row r="37" ht="18.0" customHeight="1">
      <c r="A37" s="17" t="s">
        <v>491</v>
      </c>
      <c r="B37" s="18" t="s">
        <v>3003</v>
      </c>
    </row>
    <row r="38" ht="18.0" customHeight="1">
      <c r="A38" s="15" t="s">
        <v>493</v>
      </c>
      <c r="B38" s="16" t="s">
        <v>3004</v>
      </c>
    </row>
    <row r="39" ht="18.0" customHeight="1">
      <c r="A39" s="17" t="s">
        <v>498</v>
      </c>
      <c r="B39" s="18" t="s">
        <v>3005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3006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3008</v>
      </c>
    </row>
    <row r="5" ht="18.0" customHeight="1">
      <c r="A5" s="17" t="s">
        <v>413</v>
      </c>
      <c r="B5" s="18" t="s">
        <v>1909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3010</v>
      </c>
    </row>
    <row r="12" ht="18.0" customHeight="1">
      <c r="A12" s="15" t="s">
        <v>430</v>
      </c>
      <c r="B12" s="16" t="s">
        <v>3011</v>
      </c>
    </row>
    <row r="13" ht="18.0" customHeight="1">
      <c r="A13" s="17" t="s">
        <v>433</v>
      </c>
      <c r="B13" s="18" t="s">
        <v>3012</v>
      </c>
    </row>
    <row r="14" ht="18.0" customHeight="1">
      <c r="A14" s="15" t="s">
        <v>435</v>
      </c>
      <c r="B14" s="16" t="s">
        <v>2349</v>
      </c>
    </row>
    <row r="15" ht="18.0" customHeight="1">
      <c r="A15" s="17" t="s">
        <v>437</v>
      </c>
      <c r="B15" s="18" t="s">
        <v>541</v>
      </c>
    </row>
    <row r="17" ht="19.5" customHeight="1">
      <c r="A17" s="13" t="s">
        <v>441</v>
      </c>
      <c r="B17" s="14"/>
    </row>
    <row r="18" ht="45.0" customHeight="1">
      <c r="A18" s="15" t="s">
        <v>3013</v>
      </c>
      <c r="B18" s="16" t="s">
        <v>3014</v>
      </c>
    </row>
    <row r="19" ht="75.0" customHeight="1">
      <c r="A19" s="17" t="s">
        <v>3015</v>
      </c>
      <c r="B19" s="18" t="s">
        <v>3016</v>
      </c>
    </row>
    <row r="20" ht="60.0" customHeight="1">
      <c r="A20" s="15" t="s">
        <v>3017</v>
      </c>
      <c r="B20" s="16" t="s">
        <v>3018</v>
      </c>
    </row>
    <row r="21" ht="75.0" customHeight="1">
      <c r="A21" s="17" t="s">
        <v>3019</v>
      </c>
      <c r="B21" s="18" t="s">
        <v>3021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3022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3023</v>
      </c>
    </row>
    <row r="28" ht="18.0" customHeight="1">
      <c r="A28" s="15" t="s">
        <v>471</v>
      </c>
      <c r="B28" s="16" t="s">
        <v>3024</v>
      </c>
    </row>
    <row r="29" ht="18.0" customHeight="1">
      <c r="A29" s="17" t="s">
        <v>473</v>
      </c>
      <c r="B29" s="18" t="s">
        <v>3026</v>
      </c>
    </row>
    <row r="30" ht="18.0" customHeight="1">
      <c r="A30" s="15" t="s">
        <v>475</v>
      </c>
      <c r="B30" s="16" t="s">
        <v>3028</v>
      </c>
    </row>
    <row r="31" ht="18.0" customHeight="1">
      <c r="A31" s="17" t="s">
        <v>477</v>
      </c>
      <c r="B31" s="18" t="s">
        <v>3030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3034</v>
      </c>
    </row>
    <row r="36" ht="18.0" customHeight="1">
      <c r="A36" s="15" t="s">
        <v>489</v>
      </c>
      <c r="B36" s="16" t="s">
        <v>3035</v>
      </c>
    </row>
    <row r="37" ht="18.0" customHeight="1">
      <c r="A37" s="17" t="s">
        <v>491</v>
      </c>
      <c r="B37" s="18" t="s">
        <v>3037</v>
      </c>
    </row>
    <row r="38" ht="18.0" customHeight="1">
      <c r="A38" s="15" t="s">
        <v>493</v>
      </c>
      <c r="B38" s="16" t="s">
        <v>3038</v>
      </c>
    </row>
    <row r="39" ht="18.0" customHeight="1">
      <c r="A39" s="17" t="s">
        <v>498</v>
      </c>
      <c r="B39" s="18" t="s">
        <v>3039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3007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3009</v>
      </c>
    </row>
    <row r="5" ht="18.0" customHeight="1">
      <c r="A5" s="17" t="s">
        <v>413</v>
      </c>
      <c r="B5" s="18" t="s">
        <v>1985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2679</v>
      </c>
    </row>
    <row r="12" ht="18.0" customHeight="1">
      <c r="A12" s="15" t="s">
        <v>430</v>
      </c>
      <c r="B12" s="16" t="s">
        <v>3020</v>
      </c>
    </row>
    <row r="13" ht="18.0" customHeight="1">
      <c r="A13" s="17" t="s">
        <v>433</v>
      </c>
      <c r="B13" s="18" t="s">
        <v>2009</v>
      </c>
    </row>
    <row r="14" ht="18.0" customHeight="1">
      <c r="A14" s="15" t="s">
        <v>435</v>
      </c>
      <c r="B14" s="16" t="s">
        <v>1753</v>
      </c>
    </row>
    <row r="15" ht="18.0" customHeight="1">
      <c r="A15" s="17" t="s">
        <v>437</v>
      </c>
      <c r="B15" s="18" t="s">
        <v>1754</v>
      </c>
    </row>
    <row r="17" ht="19.5" customHeight="1">
      <c r="A17" s="13" t="s">
        <v>441</v>
      </c>
      <c r="B17" s="14"/>
    </row>
    <row r="18" ht="60.0" customHeight="1">
      <c r="A18" s="15" t="s">
        <v>1321</v>
      </c>
      <c r="B18" s="16" t="s">
        <v>3025</v>
      </c>
    </row>
    <row r="19" ht="75.0" customHeight="1">
      <c r="A19" s="17" t="s">
        <v>1324</v>
      </c>
      <c r="B19" s="18" t="s">
        <v>3027</v>
      </c>
    </row>
    <row r="20" ht="60.0" customHeight="1">
      <c r="A20" s="15" t="s">
        <v>3029</v>
      </c>
      <c r="B20" s="16" t="s">
        <v>3031</v>
      </c>
    </row>
    <row r="21" ht="45.0" customHeight="1">
      <c r="A21" s="17" t="s">
        <v>3032</v>
      </c>
      <c r="B21" s="18" t="s">
        <v>3033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3036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3040</v>
      </c>
    </row>
    <row r="28" ht="18.0" customHeight="1">
      <c r="A28" s="15" t="s">
        <v>471</v>
      </c>
      <c r="B28" s="16" t="s">
        <v>3041</v>
      </c>
    </row>
    <row r="29" ht="18.0" customHeight="1">
      <c r="A29" s="17" t="s">
        <v>473</v>
      </c>
      <c r="B29" s="18" t="s">
        <v>3042</v>
      </c>
    </row>
    <row r="30" ht="18.0" customHeight="1">
      <c r="A30" s="15" t="s">
        <v>475</v>
      </c>
      <c r="B30" s="16" t="s">
        <v>3043</v>
      </c>
    </row>
    <row r="31" ht="18.0" customHeight="1">
      <c r="A31" s="17" t="s">
        <v>477</v>
      </c>
      <c r="B31" s="18" t="s">
        <v>3044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3045</v>
      </c>
    </row>
    <row r="36" ht="18.0" customHeight="1">
      <c r="A36" s="15" t="s">
        <v>489</v>
      </c>
      <c r="B36" s="16" t="s">
        <v>3046</v>
      </c>
    </row>
    <row r="37" ht="18.0" customHeight="1">
      <c r="A37" s="17" t="s">
        <v>491</v>
      </c>
      <c r="B37" s="18" t="s">
        <v>3047</v>
      </c>
    </row>
    <row r="38" ht="18.0" customHeight="1">
      <c r="A38" s="15" t="s">
        <v>493</v>
      </c>
      <c r="B38" s="16" t="s">
        <v>3048</v>
      </c>
    </row>
    <row r="39" ht="18.0" customHeight="1">
      <c r="A39" s="17" t="s">
        <v>498</v>
      </c>
      <c r="B39" s="18" t="s">
        <v>3049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3050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3051</v>
      </c>
    </row>
    <row r="5" ht="18.0" customHeight="1">
      <c r="A5" s="17" t="s">
        <v>413</v>
      </c>
      <c r="B5" s="18" t="s">
        <v>1908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3052</v>
      </c>
    </row>
    <row r="12" ht="18.0" customHeight="1">
      <c r="A12" s="15" t="s">
        <v>430</v>
      </c>
      <c r="B12" s="16" t="s">
        <v>3053</v>
      </c>
    </row>
    <row r="13" ht="18.0" customHeight="1">
      <c r="A13" s="17" t="s">
        <v>433</v>
      </c>
      <c r="B13" s="18" t="s">
        <v>3054</v>
      </c>
    </row>
    <row r="14" ht="18.0" customHeight="1">
      <c r="A14" s="15" t="s">
        <v>435</v>
      </c>
      <c r="B14" s="16" t="s">
        <v>3055</v>
      </c>
    </row>
    <row r="15" ht="18.0" customHeight="1">
      <c r="A15" s="17" t="s">
        <v>437</v>
      </c>
      <c r="B15" s="18" t="s">
        <v>3056</v>
      </c>
    </row>
    <row r="17" ht="19.5" customHeight="1">
      <c r="A17" s="13" t="s">
        <v>441</v>
      </c>
      <c r="B17" s="14"/>
    </row>
    <row r="18" ht="45.0" customHeight="1">
      <c r="A18" s="15" t="s">
        <v>1259</v>
      </c>
      <c r="B18" s="16" t="s">
        <v>3057</v>
      </c>
    </row>
    <row r="19" ht="75.0" customHeight="1">
      <c r="A19" s="17" t="s">
        <v>3058</v>
      </c>
      <c r="B19" s="18" t="s">
        <v>3059</v>
      </c>
    </row>
    <row r="20" ht="60.0" customHeight="1">
      <c r="A20" s="15" t="s">
        <v>3060</v>
      </c>
      <c r="B20" s="16" t="s">
        <v>3061</v>
      </c>
    </row>
    <row r="21" ht="45.0" customHeight="1">
      <c r="A21" s="17" t="s">
        <v>3062</v>
      </c>
      <c r="B21" s="18" t="s">
        <v>3063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3064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3065</v>
      </c>
    </row>
    <row r="28" ht="18.0" customHeight="1">
      <c r="A28" s="15" t="s">
        <v>471</v>
      </c>
      <c r="B28" s="16" t="s">
        <v>3066</v>
      </c>
    </row>
    <row r="29" ht="18.0" customHeight="1">
      <c r="A29" s="17" t="s">
        <v>473</v>
      </c>
      <c r="B29" s="18" t="s">
        <v>3067</v>
      </c>
    </row>
    <row r="30" ht="18.0" customHeight="1">
      <c r="A30" s="15" t="s">
        <v>475</v>
      </c>
      <c r="B30" s="16" t="s">
        <v>3068</v>
      </c>
    </row>
    <row r="31" ht="18.0" customHeight="1">
      <c r="A31" s="17" t="s">
        <v>477</v>
      </c>
      <c r="B31" s="18" t="s">
        <v>3070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3071</v>
      </c>
    </row>
    <row r="36" ht="18.0" customHeight="1">
      <c r="A36" s="15" t="s">
        <v>489</v>
      </c>
      <c r="B36" s="16" t="s">
        <v>3072</v>
      </c>
    </row>
    <row r="37" ht="18.0" customHeight="1">
      <c r="A37" s="17" t="s">
        <v>491</v>
      </c>
      <c r="B37" s="18" t="s">
        <v>3073</v>
      </c>
    </row>
    <row r="38" ht="18.0" customHeight="1">
      <c r="A38" s="15" t="s">
        <v>493</v>
      </c>
      <c r="B38" s="16" t="s">
        <v>1252</v>
      </c>
    </row>
    <row r="39" ht="18.0" customHeight="1">
      <c r="A39" s="17" t="s">
        <v>498</v>
      </c>
      <c r="B39" s="18" t="s">
        <v>1253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3069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3078</v>
      </c>
    </row>
    <row r="5" ht="18.0" customHeight="1">
      <c r="A5" s="17" t="s">
        <v>413</v>
      </c>
      <c r="B5" s="18" t="s">
        <v>3080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3084</v>
      </c>
    </row>
    <row r="12" ht="18.0" customHeight="1">
      <c r="A12" s="15" t="s">
        <v>430</v>
      </c>
      <c r="B12" s="16" t="s">
        <v>3088</v>
      </c>
    </row>
    <row r="13" ht="18.0" customHeight="1">
      <c r="A13" s="17" t="s">
        <v>433</v>
      </c>
      <c r="B13" s="18" t="s">
        <v>3091</v>
      </c>
    </row>
    <row r="14" ht="18.0" customHeight="1">
      <c r="A14" s="15" t="s">
        <v>435</v>
      </c>
      <c r="B14" s="16" t="s">
        <v>1789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45.0" customHeight="1">
      <c r="A18" s="15" t="s">
        <v>3098</v>
      </c>
      <c r="B18" s="16" t="s">
        <v>3099</v>
      </c>
    </row>
    <row r="19" ht="75.0" customHeight="1">
      <c r="A19" s="17" t="s">
        <v>3101</v>
      </c>
      <c r="B19" s="18" t="s">
        <v>3102</v>
      </c>
    </row>
    <row r="20" ht="45.0" customHeight="1">
      <c r="A20" s="15" t="s">
        <v>3104</v>
      </c>
      <c r="B20" s="16" t="s">
        <v>3106</v>
      </c>
    </row>
    <row r="21" ht="30.0" customHeight="1">
      <c r="A21" s="17" t="s">
        <v>3107</v>
      </c>
      <c r="B21" s="18" t="s">
        <v>3109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3113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3117</v>
      </c>
    </row>
    <row r="28" ht="18.0" customHeight="1">
      <c r="A28" s="15" t="s">
        <v>471</v>
      </c>
      <c r="B28" s="16" t="s">
        <v>3122</v>
      </c>
    </row>
    <row r="29" ht="18.0" customHeight="1">
      <c r="A29" s="17" t="s">
        <v>473</v>
      </c>
      <c r="B29" s="18" t="s">
        <v>3125</v>
      </c>
    </row>
    <row r="30" ht="18.0" customHeight="1">
      <c r="A30" s="15" t="s">
        <v>475</v>
      </c>
      <c r="B30" s="16" t="s">
        <v>3127</v>
      </c>
    </row>
    <row r="31" ht="18.0" customHeight="1">
      <c r="A31" s="17" t="s">
        <v>477</v>
      </c>
      <c r="B31" s="18" t="s">
        <v>3129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3134</v>
      </c>
    </row>
    <row r="36" ht="18.0" customHeight="1">
      <c r="A36" s="15" t="s">
        <v>489</v>
      </c>
      <c r="B36" s="16" t="s">
        <v>3136</v>
      </c>
    </row>
    <row r="37" ht="18.0" customHeight="1">
      <c r="A37" s="17" t="s">
        <v>491</v>
      </c>
      <c r="B37" s="18" t="s">
        <v>3138</v>
      </c>
    </row>
    <row r="38" ht="18.0" customHeight="1">
      <c r="A38" s="15" t="s">
        <v>493</v>
      </c>
      <c r="B38" s="16" t="s">
        <v>2821</v>
      </c>
    </row>
    <row r="39" ht="18.0" customHeight="1">
      <c r="A39" s="17" t="s">
        <v>498</v>
      </c>
      <c r="B39" s="18" t="s">
        <v>2086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3074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3075</v>
      </c>
    </row>
    <row r="5" ht="18.0" customHeight="1">
      <c r="A5" s="17" t="s">
        <v>413</v>
      </c>
      <c r="B5" s="18" t="s">
        <v>3076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431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3079</v>
      </c>
    </row>
    <row r="12" ht="18.0" customHeight="1">
      <c r="A12" s="15" t="s">
        <v>430</v>
      </c>
      <c r="B12" s="16" t="s">
        <v>3081</v>
      </c>
    </row>
    <row r="13" ht="18.0" customHeight="1">
      <c r="A13" s="17" t="s">
        <v>433</v>
      </c>
      <c r="B13" s="18" t="s">
        <v>3082</v>
      </c>
    </row>
    <row r="14" ht="18.0" customHeight="1">
      <c r="A14" s="15" t="s">
        <v>435</v>
      </c>
      <c r="B14" s="16" t="s">
        <v>2498</v>
      </c>
    </row>
    <row r="15" ht="18.0" customHeight="1">
      <c r="A15" s="17" t="s">
        <v>437</v>
      </c>
      <c r="B15" s="18" t="s">
        <v>1711</v>
      </c>
    </row>
    <row r="17" ht="19.5" customHeight="1">
      <c r="A17" s="13" t="s">
        <v>441</v>
      </c>
      <c r="B17" s="14"/>
    </row>
    <row r="18" ht="60.0" customHeight="1">
      <c r="A18" s="15" t="s">
        <v>3086</v>
      </c>
      <c r="B18" s="16" t="s">
        <v>3087</v>
      </c>
    </row>
    <row r="19" ht="60.0" customHeight="1">
      <c r="A19" s="17" t="s">
        <v>3089</v>
      </c>
      <c r="B19" s="18" t="s">
        <v>3090</v>
      </c>
    </row>
    <row r="20" ht="45.0" customHeight="1">
      <c r="A20" s="15" t="s">
        <v>3092</v>
      </c>
      <c r="B20" s="16" t="s">
        <v>3093</v>
      </c>
    </row>
    <row r="21" ht="30.0" customHeight="1">
      <c r="A21" s="17" t="s">
        <v>3094</v>
      </c>
      <c r="B21" s="18" t="s">
        <v>3095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3097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3105</v>
      </c>
    </row>
    <row r="28" ht="18.0" customHeight="1">
      <c r="A28" s="15" t="s">
        <v>471</v>
      </c>
      <c r="B28" s="16" t="s">
        <v>3108</v>
      </c>
    </row>
    <row r="29" ht="18.0" customHeight="1">
      <c r="A29" s="17" t="s">
        <v>473</v>
      </c>
      <c r="B29" s="18" t="s">
        <v>3110</v>
      </c>
    </row>
    <row r="30" ht="18.0" customHeight="1">
      <c r="A30" s="15" t="s">
        <v>475</v>
      </c>
      <c r="B30" s="16" t="s">
        <v>3111</v>
      </c>
    </row>
    <row r="31" ht="18.0" customHeight="1">
      <c r="A31" s="17" t="s">
        <v>477</v>
      </c>
      <c r="B31" s="18" t="s">
        <v>2449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3121</v>
      </c>
    </row>
    <row r="36" ht="18.0" customHeight="1">
      <c r="A36" s="15" t="s">
        <v>489</v>
      </c>
      <c r="B36" s="16" t="s">
        <v>3124</v>
      </c>
    </row>
    <row r="37" ht="18.0" customHeight="1">
      <c r="A37" s="17" t="s">
        <v>491</v>
      </c>
      <c r="B37" s="18" t="s">
        <v>3126</v>
      </c>
    </row>
    <row r="38" ht="18.0" customHeight="1">
      <c r="A38" s="15" t="s">
        <v>493</v>
      </c>
      <c r="B38" s="16" t="s">
        <v>3128</v>
      </c>
    </row>
    <row r="39" ht="18.0" customHeight="1">
      <c r="A39" s="17" t="s">
        <v>498</v>
      </c>
      <c r="B39" s="18" t="s">
        <v>2053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3077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3083</v>
      </c>
    </row>
    <row r="5" ht="18.0" customHeight="1">
      <c r="A5" s="17" t="s">
        <v>413</v>
      </c>
      <c r="B5" s="18" t="s">
        <v>3085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3096</v>
      </c>
    </row>
    <row r="12" ht="18.0" customHeight="1">
      <c r="A12" s="15" t="s">
        <v>430</v>
      </c>
      <c r="B12" s="16" t="s">
        <v>3100</v>
      </c>
    </row>
    <row r="13" ht="18.0" customHeight="1">
      <c r="A13" s="17" t="s">
        <v>433</v>
      </c>
      <c r="B13" s="18" t="s">
        <v>3103</v>
      </c>
    </row>
    <row r="14" ht="18.0" customHeight="1">
      <c r="A14" s="15" t="s">
        <v>435</v>
      </c>
      <c r="B14" s="16" t="s">
        <v>1131</v>
      </c>
    </row>
    <row r="15" ht="18.0" customHeight="1">
      <c r="A15" s="17" t="s">
        <v>437</v>
      </c>
      <c r="B15" s="18" t="s">
        <v>1087</v>
      </c>
    </row>
    <row r="17" ht="19.5" customHeight="1">
      <c r="A17" s="13" t="s">
        <v>441</v>
      </c>
      <c r="B17" s="14"/>
    </row>
    <row r="18" ht="45.0" customHeight="1">
      <c r="A18" s="15" t="s">
        <v>3112</v>
      </c>
      <c r="B18" s="16" t="s">
        <v>3114</v>
      </c>
    </row>
    <row r="19" ht="60.0" customHeight="1">
      <c r="A19" s="17" t="s">
        <v>3115</v>
      </c>
      <c r="B19" s="18" t="s">
        <v>3116</v>
      </c>
    </row>
    <row r="20" ht="45.0" customHeight="1">
      <c r="A20" s="15" t="s">
        <v>3118</v>
      </c>
      <c r="B20" s="16" t="s">
        <v>3119</v>
      </c>
    </row>
    <row r="21" ht="30.0" customHeight="1">
      <c r="A21" s="17" t="s">
        <v>3120</v>
      </c>
      <c r="B21" s="18" t="s">
        <v>3123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3130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3131</v>
      </c>
    </row>
    <row r="28" ht="18.0" customHeight="1">
      <c r="A28" s="15" t="s">
        <v>471</v>
      </c>
      <c r="B28" s="16" t="s">
        <v>3132</v>
      </c>
    </row>
    <row r="29" ht="18.0" customHeight="1">
      <c r="A29" s="17" t="s">
        <v>473</v>
      </c>
      <c r="B29" s="18" t="s">
        <v>3133</v>
      </c>
    </row>
    <row r="30" ht="18.0" customHeight="1">
      <c r="A30" s="15" t="s">
        <v>475</v>
      </c>
      <c r="B30" s="16" t="s">
        <v>3135</v>
      </c>
    </row>
    <row r="31" ht="18.0" customHeight="1">
      <c r="A31" s="17" t="s">
        <v>477</v>
      </c>
      <c r="B31" s="18" t="s">
        <v>3137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3139</v>
      </c>
    </row>
    <row r="36" ht="18.0" customHeight="1">
      <c r="A36" s="15" t="s">
        <v>489</v>
      </c>
      <c r="B36" s="16" t="s">
        <v>3140</v>
      </c>
    </row>
    <row r="37" ht="18.0" customHeight="1">
      <c r="A37" s="17" t="s">
        <v>491</v>
      </c>
      <c r="B37" s="18" t="s">
        <v>1298</v>
      </c>
    </row>
    <row r="38" ht="18.0" customHeight="1">
      <c r="A38" s="15" t="s">
        <v>493</v>
      </c>
      <c r="B38" s="16" t="s">
        <v>1976</v>
      </c>
    </row>
    <row r="39" ht="18.0" customHeight="1">
      <c r="A39" s="17" t="s">
        <v>498</v>
      </c>
      <c r="B39" s="18" t="s">
        <v>2237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3141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3142</v>
      </c>
    </row>
    <row r="5" ht="18.0" customHeight="1">
      <c r="A5" s="17" t="s">
        <v>413</v>
      </c>
      <c r="B5" s="18" t="s">
        <v>3143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3144</v>
      </c>
    </row>
    <row r="12" ht="18.0" customHeight="1">
      <c r="A12" s="15" t="s">
        <v>430</v>
      </c>
      <c r="B12" s="16" t="s">
        <v>3145</v>
      </c>
    </row>
    <row r="13" ht="18.0" customHeight="1">
      <c r="A13" s="17" t="s">
        <v>433</v>
      </c>
      <c r="B13" s="18" t="s">
        <v>3146</v>
      </c>
    </row>
    <row r="14" ht="18.0" customHeight="1">
      <c r="A14" s="15" t="s">
        <v>435</v>
      </c>
      <c r="B14" s="16" t="s">
        <v>1524</v>
      </c>
    </row>
    <row r="15" ht="18.0" customHeight="1">
      <c r="A15" s="17" t="s">
        <v>437</v>
      </c>
      <c r="B15" s="18" t="s">
        <v>1024</v>
      </c>
    </row>
    <row r="17" ht="19.5" customHeight="1">
      <c r="A17" s="13" t="s">
        <v>441</v>
      </c>
      <c r="B17" s="14"/>
    </row>
    <row r="18" ht="60.0" customHeight="1">
      <c r="A18" s="15" t="s">
        <v>3147</v>
      </c>
      <c r="B18" s="16" t="s">
        <v>3148</v>
      </c>
    </row>
    <row r="19" ht="60.0" customHeight="1">
      <c r="A19" s="17" t="s">
        <v>3150</v>
      </c>
      <c r="B19" s="18" t="s">
        <v>3151</v>
      </c>
    </row>
    <row r="20" ht="30.0" customHeight="1">
      <c r="A20" s="15" t="s">
        <v>3152</v>
      </c>
      <c r="B20" s="16" t="s">
        <v>3153</v>
      </c>
    </row>
    <row r="21" ht="45.0" customHeight="1">
      <c r="A21" s="17" t="s">
        <v>3154</v>
      </c>
      <c r="B21" s="18" t="s">
        <v>3155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3158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3159</v>
      </c>
    </row>
    <row r="28" ht="18.0" customHeight="1">
      <c r="A28" s="15" t="s">
        <v>471</v>
      </c>
      <c r="B28" s="16" t="s">
        <v>3160</v>
      </c>
    </row>
    <row r="29" ht="18.0" customHeight="1">
      <c r="A29" s="17" t="s">
        <v>473</v>
      </c>
      <c r="B29" s="18" t="s">
        <v>3162</v>
      </c>
    </row>
    <row r="30" ht="18.0" customHeight="1">
      <c r="A30" s="15" t="s">
        <v>475</v>
      </c>
      <c r="B30" s="16" t="s">
        <v>3163</v>
      </c>
    </row>
    <row r="31" ht="18.0" customHeight="1">
      <c r="A31" s="17" t="s">
        <v>477</v>
      </c>
      <c r="B31" s="18" t="s">
        <v>3164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3169</v>
      </c>
    </row>
    <row r="36" ht="18.0" customHeight="1">
      <c r="A36" s="15" t="s">
        <v>489</v>
      </c>
      <c r="B36" s="16" t="s">
        <v>3171</v>
      </c>
    </row>
    <row r="37" ht="18.0" customHeight="1">
      <c r="A37" s="17" t="s">
        <v>491</v>
      </c>
      <c r="B37" s="18" t="s">
        <v>3176</v>
      </c>
    </row>
    <row r="38" ht="18.0" customHeight="1">
      <c r="A38" s="15" t="s">
        <v>493</v>
      </c>
      <c r="B38" s="16" t="s">
        <v>1135</v>
      </c>
    </row>
    <row r="39" ht="18.0" customHeight="1">
      <c r="A39" s="17" t="s">
        <v>498</v>
      </c>
      <c r="B39" s="18" t="s">
        <v>3183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3149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3156</v>
      </c>
    </row>
    <row r="5" ht="18.0" customHeight="1">
      <c r="A5" s="17" t="s">
        <v>413</v>
      </c>
      <c r="B5" s="18" t="s">
        <v>2567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3165</v>
      </c>
    </row>
    <row r="12" ht="18.0" customHeight="1">
      <c r="A12" s="15" t="s">
        <v>430</v>
      </c>
      <c r="B12" s="16" t="s">
        <v>3166</v>
      </c>
    </row>
    <row r="13" ht="18.0" customHeight="1">
      <c r="A13" s="17" t="s">
        <v>433</v>
      </c>
      <c r="B13" s="18" t="s">
        <v>3167</v>
      </c>
    </row>
    <row r="14" ht="18.0" customHeight="1">
      <c r="A14" s="15" t="s">
        <v>435</v>
      </c>
      <c r="B14" s="16" t="s">
        <v>2031</v>
      </c>
    </row>
    <row r="15" ht="18.0" customHeight="1">
      <c r="A15" s="17" t="s">
        <v>437</v>
      </c>
      <c r="B15" s="18" t="s">
        <v>1409</v>
      </c>
    </row>
    <row r="17" ht="19.5" customHeight="1">
      <c r="A17" s="13" t="s">
        <v>441</v>
      </c>
      <c r="B17" s="14"/>
    </row>
    <row r="18" ht="45.0" customHeight="1">
      <c r="A18" s="15" t="s">
        <v>2573</v>
      </c>
      <c r="B18" s="16" t="s">
        <v>3173</v>
      </c>
    </row>
    <row r="19" ht="75.0" customHeight="1">
      <c r="A19" s="17" t="s">
        <v>3174</v>
      </c>
      <c r="B19" s="18" t="s">
        <v>3177</v>
      </c>
    </row>
    <row r="20" ht="45.0" customHeight="1">
      <c r="A20" s="15" t="s">
        <v>3178</v>
      </c>
      <c r="B20" s="16" t="s">
        <v>3179</v>
      </c>
    </row>
    <row r="21" ht="45.0" customHeight="1">
      <c r="A21" s="17" t="s">
        <v>3181</v>
      </c>
      <c r="B21" s="18" t="s">
        <v>3182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3188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3192</v>
      </c>
    </row>
    <row r="28" ht="18.0" customHeight="1">
      <c r="A28" s="15" t="s">
        <v>471</v>
      </c>
      <c r="B28" s="16" t="s">
        <v>3193</v>
      </c>
    </row>
    <row r="29" ht="18.0" customHeight="1">
      <c r="A29" s="17" t="s">
        <v>473</v>
      </c>
      <c r="B29" s="18" t="s">
        <v>3196</v>
      </c>
    </row>
    <row r="30" ht="18.0" customHeight="1">
      <c r="A30" s="15" t="s">
        <v>475</v>
      </c>
      <c r="B30" s="16" t="s">
        <v>3197</v>
      </c>
    </row>
    <row r="31" ht="18.0" customHeight="1">
      <c r="A31" s="17" t="s">
        <v>477</v>
      </c>
      <c r="B31" s="18" t="s">
        <v>3199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3204</v>
      </c>
    </row>
    <row r="36" ht="18.0" customHeight="1">
      <c r="A36" s="15" t="s">
        <v>489</v>
      </c>
      <c r="B36" s="16" t="s">
        <v>3206</v>
      </c>
    </row>
    <row r="37" ht="18.0" customHeight="1">
      <c r="A37" s="17" t="s">
        <v>491</v>
      </c>
      <c r="B37" s="18" t="s">
        <v>763</v>
      </c>
    </row>
    <row r="38" ht="18.0" customHeight="1">
      <c r="A38" s="15" t="s">
        <v>493</v>
      </c>
      <c r="B38" s="16" t="s">
        <v>2188</v>
      </c>
    </row>
    <row r="39" ht="18.0" customHeight="1">
      <c r="A39" s="17" t="s">
        <v>498</v>
      </c>
      <c r="B39" s="18" t="s">
        <v>2189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3157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3161</v>
      </c>
    </row>
    <row r="5" ht="18.0" customHeight="1">
      <c r="A5" s="17" t="s">
        <v>413</v>
      </c>
      <c r="B5" s="18" t="s">
        <v>2490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2799</v>
      </c>
    </row>
    <row r="10" ht="18.0" customHeight="1">
      <c r="A10" s="15" t="s">
        <v>425</v>
      </c>
      <c r="B10" s="16" t="s">
        <v>1066</v>
      </c>
    </row>
    <row r="11" ht="18.0" customHeight="1">
      <c r="A11" s="17" t="s">
        <v>428</v>
      </c>
      <c r="B11" s="18" t="s">
        <v>2495</v>
      </c>
    </row>
    <row r="12" ht="18.0" customHeight="1">
      <c r="A12" s="15" t="s">
        <v>430</v>
      </c>
      <c r="B12" s="16" t="s">
        <v>3168</v>
      </c>
    </row>
    <row r="13" ht="18.0" customHeight="1">
      <c r="A13" s="17" t="s">
        <v>433</v>
      </c>
      <c r="B13" s="18" t="s">
        <v>3170</v>
      </c>
    </row>
    <row r="14" ht="18.0" customHeight="1">
      <c r="A14" s="15" t="s">
        <v>435</v>
      </c>
      <c r="B14" s="16" t="s">
        <v>3172</v>
      </c>
    </row>
    <row r="15" ht="18.0" customHeight="1">
      <c r="A15" s="17" t="s">
        <v>437</v>
      </c>
      <c r="B15" s="18" t="s">
        <v>3175</v>
      </c>
    </row>
    <row r="17" ht="19.5" customHeight="1">
      <c r="A17" s="13" t="s">
        <v>441</v>
      </c>
      <c r="B17" s="14"/>
    </row>
    <row r="18" ht="45.0" customHeight="1">
      <c r="A18" s="15" t="s">
        <v>2501</v>
      </c>
      <c r="B18" s="16" t="s">
        <v>3184</v>
      </c>
    </row>
    <row r="19" ht="60.0" customHeight="1">
      <c r="A19" s="17" t="s">
        <v>3185</v>
      </c>
      <c r="B19" s="18" t="s">
        <v>3186</v>
      </c>
    </row>
    <row r="20" ht="60.0" customHeight="1">
      <c r="A20" s="15" t="s">
        <v>3187</v>
      </c>
      <c r="B20" s="16" t="s">
        <v>3189</v>
      </c>
    </row>
    <row r="21" ht="30.0" customHeight="1">
      <c r="A21" s="17" t="s">
        <v>3190</v>
      </c>
      <c r="B21" s="18" t="s">
        <v>3191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3195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3200</v>
      </c>
    </row>
    <row r="28" ht="18.0" customHeight="1">
      <c r="A28" s="15" t="s">
        <v>471</v>
      </c>
      <c r="B28" s="16" t="s">
        <v>3201</v>
      </c>
    </row>
    <row r="29" ht="18.0" customHeight="1">
      <c r="A29" s="17" t="s">
        <v>473</v>
      </c>
      <c r="B29" s="18" t="s">
        <v>3202</v>
      </c>
    </row>
    <row r="30" ht="18.0" customHeight="1">
      <c r="A30" s="15" t="s">
        <v>475</v>
      </c>
      <c r="B30" s="16" t="s">
        <v>3203</v>
      </c>
    </row>
    <row r="31" ht="18.0" customHeight="1">
      <c r="A31" s="17" t="s">
        <v>477</v>
      </c>
      <c r="B31" s="18" t="s">
        <v>3205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3209</v>
      </c>
    </row>
    <row r="36" ht="18.0" customHeight="1">
      <c r="A36" s="15" t="s">
        <v>489</v>
      </c>
      <c r="B36" s="16" t="s">
        <v>3210</v>
      </c>
    </row>
    <row r="37" ht="18.0" customHeight="1">
      <c r="A37" s="17" t="s">
        <v>491</v>
      </c>
      <c r="B37" s="18" t="s">
        <v>3211</v>
      </c>
    </row>
    <row r="38" ht="18.0" customHeight="1">
      <c r="A38" s="15" t="s">
        <v>493</v>
      </c>
      <c r="B38" s="16" t="s">
        <v>3213</v>
      </c>
    </row>
    <row r="39" ht="18.0" customHeight="1">
      <c r="A39" s="17" t="s">
        <v>498</v>
      </c>
      <c r="B39" s="18" t="s">
        <v>3215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3180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3194</v>
      </c>
    </row>
    <row r="5" ht="18.0" customHeight="1">
      <c r="A5" s="17" t="s">
        <v>413</v>
      </c>
      <c r="B5" s="18" t="s">
        <v>3198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615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3207</v>
      </c>
    </row>
    <row r="11" ht="18.0" customHeight="1">
      <c r="A11" s="17" t="s">
        <v>428</v>
      </c>
      <c r="B11" s="18" t="s">
        <v>3208</v>
      </c>
    </row>
    <row r="12" ht="18.0" customHeight="1">
      <c r="A12" s="15" t="s">
        <v>430</v>
      </c>
      <c r="B12" s="16" t="s">
        <v>1912</v>
      </c>
    </row>
    <row r="13" ht="18.0" customHeight="1">
      <c r="A13" s="17" t="s">
        <v>433</v>
      </c>
      <c r="B13" s="18" t="s">
        <v>2056</v>
      </c>
    </row>
    <row r="14" ht="18.0" customHeight="1">
      <c r="A14" s="15" t="s">
        <v>435</v>
      </c>
      <c r="B14" s="16" t="s">
        <v>3212</v>
      </c>
    </row>
    <row r="15" ht="18.0" customHeight="1">
      <c r="A15" s="17" t="s">
        <v>437</v>
      </c>
      <c r="B15" s="18" t="s">
        <v>3214</v>
      </c>
    </row>
    <row r="17" ht="19.5" customHeight="1">
      <c r="A17" s="13" t="s">
        <v>441</v>
      </c>
      <c r="B17" s="14"/>
    </row>
    <row r="18" ht="60.0" customHeight="1">
      <c r="A18" s="15" t="s">
        <v>3216</v>
      </c>
      <c r="B18" s="16" t="s">
        <v>3217</v>
      </c>
    </row>
    <row r="19" ht="75.0" customHeight="1">
      <c r="A19" s="17" t="s">
        <v>3218</v>
      </c>
      <c r="B19" s="18" t="s">
        <v>3219</v>
      </c>
    </row>
    <row r="20" ht="75.0" customHeight="1">
      <c r="A20" s="15" t="s">
        <v>3220</v>
      </c>
      <c r="B20" s="16" t="s">
        <v>3221</v>
      </c>
    </row>
    <row r="21" ht="30.0" customHeight="1">
      <c r="A21" s="17" t="s">
        <v>3222</v>
      </c>
      <c r="B21" s="18" t="s">
        <v>3223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3224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3225</v>
      </c>
    </row>
    <row r="28" ht="18.0" customHeight="1">
      <c r="A28" s="15" t="s">
        <v>471</v>
      </c>
      <c r="B28" s="16" t="s">
        <v>3226</v>
      </c>
    </row>
    <row r="29" ht="18.0" customHeight="1">
      <c r="A29" s="17" t="s">
        <v>473</v>
      </c>
      <c r="B29" s="18" t="s">
        <v>3227</v>
      </c>
    </row>
    <row r="30" ht="18.0" customHeight="1">
      <c r="A30" s="15" t="s">
        <v>475</v>
      </c>
      <c r="B30" s="16" t="s">
        <v>3228</v>
      </c>
    </row>
    <row r="31" ht="18.0" customHeight="1">
      <c r="A31" s="17" t="s">
        <v>477</v>
      </c>
      <c r="B31" s="18" t="s">
        <v>3229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3230</v>
      </c>
    </row>
    <row r="36" ht="18.0" customHeight="1">
      <c r="A36" s="15" t="s">
        <v>489</v>
      </c>
      <c r="B36" s="16" t="s">
        <v>3231</v>
      </c>
    </row>
    <row r="37" ht="18.0" customHeight="1">
      <c r="A37" s="17" t="s">
        <v>491</v>
      </c>
      <c r="B37" s="18" t="s">
        <v>3232</v>
      </c>
    </row>
    <row r="38" ht="18.0" customHeight="1">
      <c r="A38" s="15" t="s">
        <v>493</v>
      </c>
      <c r="B38" s="16" t="s">
        <v>1252</v>
      </c>
    </row>
    <row r="39" ht="18.0" customHeight="1">
      <c r="A39" s="17" t="s">
        <v>498</v>
      </c>
      <c r="B39" s="18" t="s">
        <v>3233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3234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3235</v>
      </c>
    </row>
    <row r="5" ht="18.0" customHeight="1">
      <c r="A5" s="17" t="s">
        <v>413</v>
      </c>
      <c r="B5" s="18" t="s">
        <v>2477</v>
      </c>
    </row>
    <row r="6" ht="18.0" customHeight="1">
      <c r="A6" s="15" t="s">
        <v>416</v>
      </c>
      <c r="B6" s="16" t="s">
        <v>1884</v>
      </c>
    </row>
    <row r="7" ht="18.0" customHeight="1">
      <c r="A7" s="17" t="s">
        <v>418</v>
      </c>
      <c r="B7" s="18" t="s">
        <v>534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3237</v>
      </c>
    </row>
    <row r="11" ht="18.0" customHeight="1">
      <c r="A11" s="17" t="s">
        <v>428</v>
      </c>
      <c r="B11" s="18" t="s">
        <v>2007</v>
      </c>
    </row>
    <row r="12" ht="18.0" customHeight="1">
      <c r="A12" s="15" t="s">
        <v>430</v>
      </c>
      <c r="B12" s="16" t="s">
        <v>3239</v>
      </c>
    </row>
    <row r="13" ht="18.0" customHeight="1">
      <c r="A13" s="17" t="s">
        <v>433</v>
      </c>
      <c r="B13" s="18" t="s">
        <v>3240</v>
      </c>
    </row>
    <row r="14" ht="18.0" customHeight="1">
      <c r="A14" s="15" t="s">
        <v>435</v>
      </c>
      <c r="B14" s="16" t="s">
        <v>3241</v>
      </c>
    </row>
    <row r="15" ht="18.0" customHeight="1">
      <c r="A15" s="17" t="s">
        <v>437</v>
      </c>
      <c r="B15" s="18" t="s">
        <v>447</v>
      </c>
    </row>
    <row r="17" ht="19.5" customHeight="1">
      <c r="A17" s="13" t="s">
        <v>441</v>
      </c>
      <c r="B17" s="14"/>
    </row>
    <row r="18" ht="60.0" customHeight="1">
      <c r="A18" s="15" t="s">
        <v>2917</v>
      </c>
      <c r="B18" s="16" t="s">
        <v>3244</v>
      </c>
    </row>
    <row r="19" ht="75.0" customHeight="1">
      <c r="A19" s="17" t="s">
        <v>3245</v>
      </c>
      <c r="B19" s="18" t="s">
        <v>3246</v>
      </c>
    </row>
    <row r="20" ht="60.0" customHeight="1">
      <c r="A20" s="15" t="s">
        <v>3247</v>
      </c>
      <c r="B20" s="16" t="s">
        <v>3248</v>
      </c>
    </row>
    <row r="21" ht="60.0" customHeight="1">
      <c r="A21" s="17" t="s">
        <v>3249</v>
      </c>
      <c r="B21" s="18" t="s">
        <v>3251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3255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3257</v>
      </c>
    </row>
    <row r="28" ht="18.0" customHeight="1">
      <c r="A28" s="15" t="s">
        <v>471</v>
      </c>
      <c r="B28" s="16" t="s">
        <v>3258</v>
      </c>
    </row>
    <row r="29" ht="18.0" customHeight="1">
      <c r="A29" s="17" t="s">
        <v>473</v>
      </c>
      <c r="B29" s="18" t="s">
        <v>3259</v>
      </c>
    </row>
    <row r="30" ht="18.0" customHeight="1">
      <c r="A30" s="15" t="s">
        <v>475</v>
      </c>
      <c r="B30" s="16" t="s">
        <v>3260</v>
      </c>
    </row>
    <row r="31" ht="18.0" customHeight="1">
      <c r="A31" s="17" t="s">
        <v>477</v>
      </c>
      <c r="B31" s="18" t="s">
        <v>3263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3271</v>
      </c>
    </row>
    <row r="36" ht="18.0" customHeight="1">
      <c r="A36" s="15" t="s">
        <v>489</v>
      </c>
      <c r="B36" s="16" t="s">
        <v>3272</v>
      </c>
    </row>
    <row r="37" ht="18.0" customHeight="1">
      <c r="A37" s="17" t="s">
        <v>491</v>
      </c>
      <c r="B37" s="18" t="s">
        <v>2509</v>
      </c>
    </row>
    <row r="38" ht="18.0" customHeight="1">
      <c r="A38" s="15" t="s">
        <v>493</v>
      </c>
      <c r="B38" s="16" t="s">
        <v>3274</v>
      </c>
    </row>
    <row r="39" ht="18.0" customHeight="1">
      <c r="A39" s="17" t="s">
        <v>498</v>
      </c>
      <c r="B39" s="18" t="s">
        <v>1494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3236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3242</v>
      </c>
    </row>
    <row r="5" ht="18.0" customHeight="1">
      <c r="A5" s="17" t="s">
        <v>413</v>
      </c>
      <c r="B5" s="18" t="s">
        <v>3243</v>
      </c>
    </row>
    <row r="6" ht="18.0" customHeight="1">
      <c r="A6" s="15" t="s">
        <v>416</v>
      </c>
      <c r="B6" s="16" t="s">
        <v>1948</v>
      </c>
    </row>
    <row r="7" ht="18.0" customHeight="1">
      <c r="A7" s="17" t="s">
        <v>418</v>
      </c>
      <c r="B7" s="18" t="s">
        <v>419</v>
      </c>
    </row>
    <row r="8" ht="18.0" customHeight="1">
      <c r="A8" s="15" t="s">
        <v>420</v>
      </c>
      <c r="B8" s="16" t="s">
        <v>1023</v>
      </c>
    </row>
    <row r="9" ht="18.0" customHeight="1">
      <c r="A9" s="17" t="s">
        <v>423</v>
      </c>
      <c r="B9" s="18" t="s">
        <v>1834</v>
      </c>
    </row>
    <row r="10" ht="18.0" customHeight="1">
      <c r="A10" s="15" t="s">
        <v>425</v>
      </c>
      <c r="B10" s="16" t="s">
        <v>3252</v>
      </c>
    </row>
    <row r="11" ht="18.0" customHeight="1">
      <c r="A11" s="17" t="s">
        <v>428</v>
      </c>
      <c r="B11" s="18" t="s">
        <v>3253</v>
      </c>
    </row>
    <row r="12" ht="18.0" customHeight="1">
      <c r="A12" s="15" t="s">
        <v>430</v>
      </c>
      <c r="B12" s="16" t="s">
        <v>3254</v>
      </c>
    </row>
    <row r="13" ht="18.0" customHeight="1">
      <c r="A13" s="17" t="s">
        <v>433</v>
      </c>
      <c r="B13" s="18" t="s">
        <v>3256</v>
      </c>
    </row>
    <row r="14" ht="18.0" customHeight="1">
      <c r="A14" s="15" t="s">
        <v>435</v>
      </c>
      <c r="B14" s="16" t="s">
        <v>1849</v>
      </c>
    </row>
    <row r="15" ht="18.0" customHeight="1">
      <c r="A15" s="17" t="s">
        <v>437</v>
      </c>
      <c r="B15" s="18" t="s">
        <v>1852</v>
      </c>
    </row>
    <row r="17" ht="19.5" customHeight="1">
      <c r="A17" s="13" t="s">
        <v>441</v>
      </c>
      <c r="B17" s="14"/>
    </row>
    <row r="18" ht="60.0" customHeight="1">
      <c r="A18" s="15" t="s">
        <v>3261</v>
      </c>
      <c r="B18" s="16" t="s">
        <v>3262</v>
      </c>
    </row>
    <row r="19" ht="60.0" customHeight="1">
      <c r="A19" s="17" t="s">
        <v>3264</v>
      </c>
      <c r="B19" s="18" t="s">
        <v>3265</v>
      </c>
    </row>
    <row r="20" ht="60.0" customHeight="1">
      <c r="A20" s="15" t="s">
        <v>3266</v>
      </c>
      <c r="B20" s="16" t="s">
        <v>3268</v>
      </c>
    </row>
    <row r="21" ht="45.0" customHeight="1">
      <c r="A21" s="17" t="s">
        <v>3269</v>
      </c>
      <c r="B21" s="18" t="s">
        <v>3270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3273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3275</v>
      </c>
    </row>
    <row r="28" ht="18.0" customHeight="1">
      <c r="A28" s="15" t="s">
        <v>471</v>
      </c>
      <c r="B28" s="16" t="s">
        <v>3276</v>
      </c>
    </row>
    <row r="29" ht="18.0" customHeight="1">
      <c r="A29" s="17" t="s">
        <v>473</v>
      </c>
      <c r="B29" s="18" t="s">
        <v>3277</v>
      </c>
    </row>
    <row r="30" ht="18.0" customHeight="1">
      <c r="A30" s="15" t="s">
        <v>475</v>
      </c>
      <c r="B30" s="16" t="s">
        <v>3278</v>
      </c>
    </row>
    <row r="31" ht="18.0" customHeight="1">
      <c r="A31" s="17" t="s">
        <v>477</v>
      </c>
      <c r="B31" s="18" t="s">
        <v>3279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3283</v>
      </c>
    </row>
    <row r="36" ht="18.0" customHeight="1">
      <c r="A36" s="15" t="s">
        <v>489</v>
      </c>
      <c r="B36" s="16" t="s">
        <v>3284</v>
      </c>
    </row>
    <row r="37" ht="18.0" customHeight="1">
      <c r="A37" s="17" t="s">
        <v>491</v>
      </c>
      <c r="B37" s="18" t="s">
        <v>3285</v>
      </c>
    </row>
    <row r="38" ht="18.0" customHeight="1">
      <c r="A38" s="15" t="s">
        <v>493</v>
      </c>
      <c r="B38" s="16" t="s">
        <v>3287</v>
      </c>
    </row>
    <row r="39" ht="18.0" customHeight="1">
      <c r="A39" s="17" t="s">
        <v>498</v>
      </c>
      <c r="B39" s="18" t="s">
        <v>2167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4.75" customHeight="1">
      <c r="A1" s="1" t="s">
        <v>3238</v>
      </c>
      <c r="B1" s="3"/>
    </row>
    <row r="3" ht="19.5" customHeight="1">
      <c r="A3" s="13" t="s">
        <v>409</v>
      </c>
      <c r="B3" s="14"/>
    </row>
    <row r="4" ht="18.0" customHeight="1">
      <c r="A4" s="15" t="s">
        <v>411</v>
      </c>
      <c r="B4" s="16" t="s">
        <v>3250</v>
      </c>
    </row>
    <row r="5" ht="18.0" customHeight="1">
      <c r="A5" s="17" t="s">
        <v>413</v>
      </c>
      <c r="B5" s="18" t="s">
        <v>1078</v>
      </c>
    </row>
    <row r="6" ht="18.0" customHeight="1">
      <c r="A6" s="15" t="s">
        <v>416</v>
      </c>
      <c r="B6" s="16" t="s">
        <v>1925</v>
      </c>
    </row>
    <row r="7" ht="18.0" customHeight="1">
      <c r="A7" s="17" t="s">
        <v>418</v>
      </c>
      <c r="B7" s="18" t="s">
        <v>34</v>
      </c>
    </row>
    <row r="8" ht="18.0" customHeight="1">
      <c r="A8" s="15" t="s">
        <v>420</v>
      </c>
      <c r="B8" s="16" t="s">
        <v>422</v>
      </c>
    </row>
    <row r="9" ht="18.0" customHeight="1">
      <c r="A9" s="17" t="s">
        <v>423</v>
      </c>
      <c r="B9" s="18" t="s">
        <v>1909</v>
      </c>
    </row>
    <row r="10" ht="18.0" customHeight="1">
      <c r="A10" s="15" t="s">
        <v>425</v>
      </c>
      <c r="B10" s="16" t="s">
        <v>3267</v>
      </c>
    </row>
    <row r="11" ht="18.0" customHeight="1">
      <c r="A11" s="17" t="s">
        <v>428</v>
      </c>
      <c r="B11" s="18" t="s">
        <v>1987</v>
      </c>
    </row>
    <row r="12" ht="18.0" customHeight="1">
      <c r="A12" s="15" t="s">
        <v>430</v>
      </c>
      <c r="B12" s="16" t="s">
        <v>1736</v>
      </c>
    </row>
    <row r="13" ht="18.0" customHeight="1">
      <c r="A13" s="17" t="s">
        <v>433</v>
      </c>
      <c r="B13" s="18" t="s">
        <v>2415</v>
      </c>
    </row>
    <row r="14" ht="18.0" customHeight="1">
      <c r="A14" s="15" t="s">
        <v>435</v>
      </c>
      <c r="B14" s="16" t="s">
        <v>2202</v>
      </c>
    </row>
    <row r="15" ht="18.0" customHeight="1">
      <c r="A15" s="17" t="s">
        <v>437</v>
      </c>
      <c r="B15" s="18" t="s">
        <v>2204</v>
      </c>
    </row>
    <row r="17" ht="19.5" customHeight="1">
      <c r="A17" s="13" t="s">
        <v>441</v>
      </c>
      <c r="B17" s="14"/>
    </row>
    <row r="18" ht="75.0" customHeight="1">
      <c r="A18" s="15" t="s">
        <v>3280</v>
      </c>
      <c r="B18" s="16" t="s">
        <v>3281</v>
      </c>
    </row>
    <row r="19" ht="75.0" customHeight="1">
      <c r="A19" s="17" t="s">
        <v>3282</v>
      </c>
      <c r="B19" s="18" t="s">
        <v>3286</v>
      </c>
    </row>
    <row r="20" ht="75.0" customHeight="1">
      <c r="A20" s="15" t="s">
        <v>3288</v>
      </c>
      <c r="B20" s="16" t="s">
        <v>3289</v>
      </c>
    </row>
    <row r="21" ht="60.0" customHeight="1">
      <c r="A21" s="17" t="s">
        <v>2720</v>
      </c>
      <c r="B21" s="18" t="s">
        <v>3290</v>
      </c>
    </row>
    <row r="22" ht="15.75" customHeight="1"/>
    <row r="23" ht="19.5" customHeight="1">
      <c r="A23" s="13" t="s">
        <v>456</v>
      </c>
      <c r="B23" s="14"/>
    </row>
    <row r="24" ht="18.0" customHeight="1">
      <c r="A24" s="15" t="s">
        <v>462</v>
      </c>
      <c r="B24" s="16" t="s">
        <v>3291</v>
      </c>
    </row>
    <row r="25" ht="18.0" customHeight="1">
      <c r="A25" s="17" t="s">
        <v>1950</v>
      </c>
      <c r="B25" s="18" t="s">
        <v>465</v>
      </c>
    </row>
    <row r="26" ht="18.0" customHeight="1">
      <c r="A26" s="15" t="s">
        <v>466</v>
      </c>
      <c r="B26" s="16" t="s">
        <v>467</v>
      </c>
    </row>
    <row r="27" ht="18.0" customHeight="1">
      <c r="A27" s="17" t="s">
        <v>468</v>
      </c>
      <c r="B27" s="18" t="s">
        <v>3292</v>
      </c>
    </row>
    <row r="28" ht="18.0" customHeight="1">
      <c r="A28" s="15" t="s">
        <v>471</v>
      </c>
      <c r="B28" s="16" t="s">
        <v>3293</v>
      </c>
    </row>
    <row r="29" ht="18.0" customHeight="1">
      <c r="A29" s="17" t="s">
        <v>473</v>
      </c>
      <c r="B29" s="18" t="s">
        <v>3294</v>
      </c>
    </row>
    <row r="30" ht="18.0" customHeight="1">
      <c r="A30" s="15" t="s">
        <v>475</v>
      </c>
      <c r="B30" s="16" t="s">
        <v>3295</v>
      </c>
    </row>
    <row r="31" ht="18.0" customHeight="1">
      <c r="A31" s="17" t="s">
        <v>477</v>
      </c>
      <c r="B31" s="18" t="s">
        <v>3296</v>
      </c>
    </row>
    <row r="32" ht="15.75" customHeight="1"/>
    <row r="33" ht="19.5" customHeight="1">
      <c r="A33" s="13" t="s">
        <v>481</v>
      </c>
      <c r="B33" s="14"/>
    </row>
    <row r="34" ht="18.0" customHeight="1">
      <c r="A34" s="15" t="s">
        <v>485</v>
      </c>
      <c r="B34" s="16" t="s">
        <v>486</v>
      </c>
    </row>
    <row r="35" ht="18.0" customHeight="1">
      <c r="A35" s="17" t="s">
        <v>487</v>
      </c>
      <c r="B35" s="18" t="s">
        <v>3297</v>
      </c>
    </row>
    <row r="36" ht="18.0" customHeight="1">
      <c r="A36" s="15" t="s">
        <v>489</v>
      </c>
      <c r="B36" s="16" t="s">
        <v>3298</v>
      </c>
    </row>
    <row r="37" ht="18.0" customHeight="1">
      <c r="A37" s="17" t="s">
        <v>491</v>
      </c>
      <c r="B37" s="18" t="s">
        <v>3299</v>
      </c>
    </row>
    <row r="38" ht="18.0" customHeight="1">
      <c r="A38" s="15" t="s">
        <v>493</v>
      </c>
      <c r="B38" s="16" t="s">
        <v>688</v>
      </c>
    </row>
    <row r="39" ht="18.0" customHeight="1">
      <c r="A39" s="17" t="s">
        <v>498</v>
      </c>
      <c r="B39" s="18" t="s">
        <v>926</v>
      </c>
    </row>
    <row r="40" ht="15.75" customHeight="1"/>
    <row r="41" ht="19.5" customHeight="1"/>
    <row r="42" ht="18.0" customHeight="1"/>
    <row r="43" ht="18.0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7:B17"/>
    <mergeCell ref="A23:B23"/>
    <mergeCell ref="A33:B33"/>
    <mergeCell ref="A41:B4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2026-10-20T10:34:45Z</dcterms:created>
  <dc:creator>openpyxl</dc:creator>
</cp:coreProperties>
</file>